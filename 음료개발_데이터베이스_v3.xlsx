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음료유형분류" sheetId="1" state="visible" r:id="rId3"/>
    <sheet name="시장제품DB" sheetId="2" state="visible" r:id="rId4"/>
    <sheet name="원료DB" sheetId="3" state="visible" r:id="rId5"/>
    <sheet name="음료규격기준" sheetId="4" state="visible" r:id="rId6"/>
    <sheet name="표준제조공정_HACCP" sheetId="5" state="visible" r:id="rId7"/>
    <sheet name="배합시뮬레이터" sheetId="6" state="visible" r:id="rId8"/>
    <sheet name="원가계산서" sheetId="7" state="visible" r:id="rId9"/>
    <sheet name="자재SPEC참조" sheetId="8" state="visible" r:id="rId10"/>
    <sheet name="과일Brix참조" sheetId="9" state="visible" r:id="rId11"/>
    <sheet name="가이드배합비DB" sheetId="10" state="visible" r:id="rId12"/>
  </sheets>
  <definedNames>
    <definedName function="false" hidden="true" localSheetId="1" name="_xlnm._FilterDatabase" vbProcedure="false">시장제품DB!$A$1:$P$116</definedName>
    <definedName function="false" hidden="true" localSheetId="2" name="_xlnm._FilterDatabase" vbProcedure="false">원료DB!$A$1:$O$212</definedName>
    <definedName function="false" hidden="true" localSheetId="3" name="_xlnm._FilterDatabase" vbProcedure="false">음료규격기준!$A$1:$I$18</definedName>
    <definedName function="false" hidden="true" localSheetId="0" name="_xlnm._FilterDatabase" vbProcedure="false">음료유형분류!$A$1:$G$19</definedName>
    <definedName function="false" hidden="true" localSheetId="4" name="_xlnm._FilterDatabase" vbProcedure="false">표준제조공정_HACCP!$A$1:$L$49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<sst xmlns="http://schemas.openxmlformats.org/spreadsheetml/2006/main" count="5841" uniqueCount="2435">
  <si>
    <t xml:space="preserve">No</t>
  </si>
  <si>
    <t xml:space="preserve">대분류</t>
  </si>
  <si>
    <t xml:space="preserve">세부유형(식품유형)</t>
  </si>
  <si>
    <t xml:space="preserve">식품공전 정의(주요원재료/함량기준)</t>
  </si>
  <si>
    <t xml:space="preserve">주요 특성</t>
  </si>
  <si>
    <t xml:space="preserve">대표 제품 예시</t>
  </si>
  <si>
    <t xml:space="preserve">국내 예상 연매출(억원)</t>
  </si>
  <si>
    <t xml:space="preserve">과일·채소류음료</t>
  </si>
  <si>
    <t xml:space="preserve">과·채주스</t>
  </si>
  <si>
    <t xml:space="preserve">과일 또는 채소를 압착·착즙하거나 이에 식품 또는 식품첨가물을 가한 것. 과즙함량 100%(착즙 또는 농축환원). 직접 착즙(NFC) 또는 농축과즙을 원래 농도로 환원(FC)한 것</t>
  </si>
  <si>
    <t xml:space="preserve">천연과즙100%, 비타민·미네랄 풍부, 천연산미</t>
  </si>
  <si>
    <t xml:space="preserve">미닛메이드 오렌지100%, 델몬트 포도100%, 풀무원 아임리얼</t>
  </si>
  <si>
    <t xml:space="preserve">과·채음료</t>
  </si>
  <si>
    <t xml:space="preserve">과일·채소류의 착즙 또는 농축과즙에 식품 또는 식품첨가물을 가한 것으로 과즙함량 10% 이상 100% 미만. 당류·산미료·향료 등 첨가 가능</t>
  </si>
  <si>
    <t xml:space="preserve">과즙+당류+산미료 혼합, 다양한 맛·가격대</t>
  </si>
  <si>
    <t xml:space="preserve">써니텐, 캡리썬, 봉봉</t>
  </si>
  <si>
    <t xml:space="preserve">탄산음료류</t>
  </si>
  <si>
    <t xml:space="preserve">탄산음료</t>
  </si>
  <si>
    <t xml:space="preserve">먹는물에 식품 또는 식품첨가물과 탄산가스를 혼합한 것. 탄산가스 압력 0.5kg/cm² 이상. 당류·산미료·착색료·향료 등 사용</t>
  </si>
  <si>
    <r>
      <rPr>
        <sz val="9"/>
        <rFont val="Arial"/>
        <family val="0"/>
        <charset val="1"/>
      </rPr>
      <t xml:space="preserve">CO₂ 2.5~4.0GV, </t>
    </r>
    <r>
      <rPr>
        <sz val="9"/>
        <rFont val="Noto Sans CJK SC"/>
        <family val="2"/>
      </rPr>
      <t xml:space="preserve">청량감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당류 함유</t>
    </r>
  </si>
  <si>
    <t xml:space="preserve">코카콜라, 펩시콜라, 칠성사이다, 스프라이트</t>
  </si>
  <si>
    <t xml:space="preserve">탄산수</t>
  </si>
  <si>
    <t xml:space="preserve">먹는물에 탄산가스만을 혼합한 것 또는 탄산가스를 함유하는 자연수. 탄산가스 압력 0.5kg/cm² 이상. 무당·무칼로리</t>
  </si>
  <si>
    <r>
      <rPr>
        <sz val="9"/>
        <rFont val="Arial"/>
        <family val="0"/>
        <charset val="1"/>
      </rPr>
      <t xml:space="preserve">CO₂ 2.5~4.0GV, </t>
    </r>
    <r>
      <rPr>
        <sz val="9"/>
        <rFont val="Noto Sans CJK SC"/>
        <family val="2"/>
      </rPr>
      <t xml:space="preserve">무설탕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제로칼로리</t>
    </r>
  </si>
  <si>
    <t xml:space="preserve">트레비, 씨그램, 페리에, 초정탄산수</t>
  </si>
  <si>
    <t xml:space="preserve">유산균음료</t>
  </si>
  <si>
    <t xml:space="preserve">유산균음료(살균)</t>
  </si>
  <si>
    <t xml:space="preserve">유가공품의 유산균 배양액을 살균 처리한 것. 무지유고형분 3% 이상. 살균 후 유산균 사멸 상태. 상온유통 가능</t>
  </si>
  <si>
    <t xml:space="preserve">유산균 배양액 기반, 상온보관 가능, 산미</t>
  </si>
  <si>
    <t xml:space="preserve">쿨피스</t>
  </si>
  <si>
    <t xml:space="preserve">유산균음료(비살균)</t>
  </si>
  <si>
    <t xml:space="preserve">유가공품의 유산균 배양액을 살균하지 않은 것. 무지유고형분 3% 이상. 유산균수 1ml당 10⁷ 이상(냉장). 냉장유통 필수</t>
  </si>
  <si>
    <t xml:space="preserve">냉장보관, 유산균 활성, 장건강 기능</t>
  </si>
  <si>
    <t xml:space="preserve">야쿠르트, 윌, R, 불가리스</t>
  </si>
  <si>
    <t xml:space="preserve">커피음료</t>
  </si>
  <si>
    <t xml:space="preserve">커피</t>
  </si>
  <si>
    <t xml:space="preserve">커피원두를 볶은 것 또는 이를 추출한 액에 식품 또는 식품첨가물을 가한 것. 조제커피: 커피고형분 0.5%이상+당류/유제품. 추출커피: 커피고형분 1.0%이상</t>
  </si>
  <si>
    <t xml:space="preserve">커피고형분 기준 충족, 카페인, 다양한 RTD형태</t>
  </si>
  <si>
    <t xml:space="preserve">조지아, 레쓰비, 칸타타, 스타벅스 RTD</t>
  </si>
  <si>
    <t xml:space="preserve">차음료</t>
  </si>
  <si>
    <t xml:space="preserve">침출차</t>
  </si>
  <si>
    <t xml:space="preserve">차나무의 잎을 주원료로 하여 뜨거운 물 등으로 추출한 것. 녹차(불발효), 홍차(완전발효), 우롱차(반발효) 등. 추출물 고형분 기준 적용</t>
  </si>
  <si>
    <t xml:space="preserve">카테킨, 항산화, 소량 카페인, 전통차류</t>
  </si>
  <si>
    <t xml:space="preserve">립톤 아이스티, 보성녹차, 오설록</t>
  </si>
  <si>
    <t xml:space="preserve">액상차</t>
  </si>
  <si>
    <t xml:space="preserve">식물성 원료(곡류·과일·채소·한약재 등)를 추출하여 음용하는 것에 식품 또는 식품첨가물을 가한 것. RTD 형태</t>
  </si>
  <si>
    <t xml:space="preserve">편의성, 다양한 풍미, 대용량 RTD</t>
  </si>
  <si>
    <t xml:space="preserve">광동 옥수수수염차, 17차, 하늘보리</t>
  </si>
  <si>
    <t xml:space="preserve">고형차</t>
  </si>
  <si>
    <t xml:space="preserve">식물성 원료를 주원료로 분말·과립 등 고형 형태로 가공한 것. 분말·과립·스틱형</t>
  </si>
  <si>
    <t xml:space="preserve">분말·스틱형, 용해 편의성, 휴대성</t>
  </si>
  <si>
    <t xml:space="preserve">맥심 모카믹스 티, 담터 율무차, 녹차분말</t>
  </si>
  <si>
    <t xml:space="preserve">두유류</t>
  </si>
  <si>
    <t xml:space="preserve">두유</t>
  </si>
  <si>
    <t xml:space="preserve">대두를 주원료로 하여 가공한 것. 대두고형분 7% 이상(두유), 4% 이상(두유액). 가당/무가당 구분</t>
  </si>
  <si>
    <t xml:space="preserve">식물성 단백질, 이소플라본, 칼슘 강화</t>
  </si>
  <si>
    <t xml:space="preserve">베지밀, 삼육두유, 매일두유</t>
  </si>
  <si>
    <t xml:space="preserve">기능성음료</t>
  </si>
  <si>
    <t xml:space="preserve">에너지음료</t>
  </si>
  <si>
    <t xml:space="preserve">혼합음료 또는 탄산음료에 카페인·타우린·비타민B군 등 기능성 원료를 강화한 음료. 카페인 총 함량 표시 의무(150mg 이하/개)</t>
  </si>
  <si>
    <t xml:space="preserve">고카페인(≤150mg), 타우린, 에너지 부스트</t>
  </si>
  <si>
    <t xml:space="preserve">레드불, 몬스터, 핫식스</t>
  </si>
  <si>
    <t xml:space="preserve">비타민음료</t>
  </si>
  <si>
    <t xml:space="preserve">비타민류(C·B군 등)를 강화한 음료. 기능성 표시 기준: 비타민C 1일 영양성분 기준치의 15% 이상 함유</t>
  </si>
  <si>
    <t xml:space="preserve">비타민C/B군 강화, 기능성표시, 저칼로리</t>
  </si>
  <si>
    <t xml:space="preserve">비타500, 비타파워, 비타민워터</t>
  </si>
  <si>
    <t xml:space="preserve">이온음료(스포츠음료)</t>
  </si>
  <si>
    <t xml:space="preserve">전해질(Na⁺, K⁺, Cl⁻ 등)을 함유하여 체액과 유사한 삼투압(200~340mOsm/L)을 가진 음료. 수분·전해질 보충 목적</t>
  </si>
  <si>
    <t xml:space="preserve">삼투압 조절, 전해질 보충, 운동 시 수분 공급</t>
  </si>
  <si>
    <t xml:space="preserve">포카리스웨트, 게토레이, 파워에이드</t>
  </si>
  <si>
    <t xml:space="preserve">혼합음료</t>
  </si>
  <si>
    <t xml:space="preserve">상기 유형에 해당하지 않는 음료 또는 2가지 이상 유형을 혼합한 것. 식품유형 분류 기준에 복합적으로 해당하는 음료</t>
  </si>
  <si>
    <t xml:space="preserve">다양한 조합 가능, 복합 풍미, 포괄적 분류</t>
  </si>
  <si>
    <t xml:space="preserve">밀키스, 맥콜, 코코팜, 알로에음료</t>
  </si>
  <si>
    <t xml:space="preserve">기타음료</t>
  </si>
  <si>
    <t xml:space="preserve">인삼/홍삼음료</t>
  </si>
  <si>
    <t xml:space="preserve">인삼 또는 홍삼을 주원료로 추출·가공한 음료. 홍삼: 진세노사이드(Rg1+Rb1+Rg3) 함량 기준. 건강기능식품 해당 시 별도 기준</t>
  </si>
  <si>
    <t xml:space="preserve">사포닌(진세노사이드), 건강기능, 면역</t>
  </si>
  <si>
    <t xml:space="preserve">정관장 홍삼톤, CJ한뿌리, 광동홍삼담은</t>
  </si>
  <si>
    <t xml:space="preserve">식혜/수정과</t>
  </si>
  <si>
    <t xml:space="preserve">전통 곡물·한약재 음료. 식혜: 엿기름 추출물+쌀밥 당화. 수정과: 계피·생강·당류. 전통식품 품질인증 가능</t>
  </si>
  <si>
    <t xml:space="preserve">전통음료, 엿기름/계피/생강, 명절 수요↑</t>
  </si>
  <si>
    <t xml:space="preserve">비락식혜, 팔도수정과</t>
  </si>
  <si>
    <t xml:space="preserve">젤리음료(곤약젤리)</t>
  </si>
  <si>
    <t xml:space="preserve">곤약분말(글루코만난) 또는 젤라틴 등을 사용하여 젤리 형태로 가공한 음료. 곤약 함량 1% 이상, 식이섬유 함유</t>
  </si>
  <si>
    <t xml:space="preserve">저칼로리, 식이섬유, 포만감, 간식 대용</t>
  </si>
  <si>
    <t xml:space="preserve">오리히로 곤약젤리, CJ곤약젤리</t>
  </si>
  <si>
    <t xml:space="preserve">세부유형</t>
  </si>
  <si>
    <t xml:space="preserve">제품명</t>
  </si>
  <si>
    <t xml:space="preserve">제조사</t>
  </si>
  <si>
    <t xml:space="preserve">배합순위1(원재료/배합비%/원산지)</t>
  </si>
  <si>
    <t xml:space="preserve">배합순위2</t>
  </si>
  <si>
    <t xml:space="preserve">배합순위3</t>
  </si>
  <si>
    <t xml:space="preserve">배합순위4</t>
  </si>
  <si>
    <t xml:space="preserve">배합순위5</t>
  </si>
  <si>
    <t xml:space="preserve">배합순위6</t>
  </si>
  <si>
    <t xml:space="preserve">배합순위7</t>
  </si>
  <si>
    <t xml:space="preserve">용량(ml)</t>
  </si>
  <si>
    <t xml:space="preserve">포장용기</t>
  </si>
  <si>
    <t xml:space="preserve">가격(원)</t>
  </si>
  <si>
    <t xml:space="preserve">비고</t>
  </si>
  <si>
    <t xml:space="preserve">당도(Bx)</t>
  </si>
  <si>
    <t xml:space="preserve">산도(%)</t>
  </si>
  <si>
    <t xml:space="preserve">pH</t>
  </si>
  <si>
    <t xml:space="preserve">당산비</t>
  </si>
  <si>
    <t xml:space="preserve">과일·채소류</t>
  </si>
  <si>
    <t xml:space="preserve">미닛메이드 오렌지100%</t>
  </si>
  <si>
    <t xml:space="preserve">코카콜라</t>
  </si>
  <si>
    <t xml:space="preserve">오렌지농축과즙/20%/브라질</t>
  </si>
  <si>
    <t xml:space="preserve">정제수/80%/국내</t>
  </si>
  <si>
    <t xml:space="preserve">—</t>
  </si>
  <si>
    <t xml:space="preserve">PET</t>
  </si>
  <si>
    <t xml:space="preserve">농축환원</t>
  </si>
  <si>
    <t xml:space="preserve">델몬트 포도100%</t>
  </si>
  <si>
    <t xml:space="preserve">롯데칠성</t>
  </si>
  <si>
    <t xml:space="preserve">포도농축과즙/18%/칠레</t>
  </si>
  <si>
    <t xml:space="preserve">정제수/82%/국내</t>
  </si>
  <si>
    <t xml:space="preserve">풀무원 아임리얼 토마토</t>
  </si>
  <si>
    <t xml:space="preserve">풀무원</t>
  </si>
  <si>
    <t xml:space="preserve">토마토착즙/100%/국내</t>
  </si>
  <si>
    <t xml:space="preserve">유리병</t>
  </si>
  <si>
    <r>
      <rPr>
        <sz val="9"/>
        <rFont val="Arial"/>
        <family val="0"/>
        <charset val="1"/>
      </rPr>
      <t xml:space="preserve">NFC,</t>
    </r>
    <r>
      <rPr>
        <sz val="9"/>
        <rFont val="Noto Sans CJK SC"/>
        <family val="2"/>
      </rPr>
      <t xml:space="preserve">냉장</t>
    </r>
  </si>
  <si>
    <t xml:space="preserve">제주감귤 생과즙</t>
  </si>
  <si>
    <t xml:space="preserve">제주농협</t>
  </si>
  <si>
    <t xml:space="preserve">감귤착즙/100%/제주</t>
  </si>
  <si>
    <t xml:space="preserve">파우치</t>
  </si>
  <si>
    <t xml:space="preserve">NFC</t>
  </si>
  <si>
    <t xml:space="preserve">매일 스위트컵 사과</t>
  </si>
  <si>
    <t xml:space="preserve">매일유업</t>
  </si>
  <si>
    <t xml:space="preserve">사과농축과즙/22%/국내</t>
  </si>
  <si>
    <t xml:space="preserve">정제수/78%/국내</t>
  </si>
  <si>
    <t xml:space="preserve">종이팩</t>
  </si>
  <si>
    <t xml:space="preserve">가야농장 석류100%</t>
  </si>
  <si>
    <t xml:space="preserve">남양유업</t>
  </si>
  <si>
    <t xml:space="preserve">석류농축과즙/16%/이란</t>
  </si>
  <si>
    <t xml:space="preserve">정제수/84%/국내</t>
  </si>
  <si>
    <t xml:space="preserve">썬키스트 자몽100%</t>
  </si>
  <si>
    <t xml:space="preserve">해태음료</t>
  </si>
  <si>
    <t xml:space="preserve">자몽농축과즙/20%/미국</t>
  </si>
  <si>
    <t xml:space="preserve">델몬트 망고100%</t>
  </si>
  <si>
    <t xml:space="preserve">망고농축과즙/20%/인도</t>
  </si>
  <si>
    <t xml:space="preserve">상쾌한하루 야채</t>
  </si>
  <si>
    <t xml:space="preserve">한국야쿠르트</t>
  </si>
  <si>
    <t xml:space="preserve">당근농축즙/10%/국내</t>
  </si>
  <si>
    <t xml:space="preserve">토마토농축즙/8%/국내</t>
  </si>
  <si>
    <t xml:space="preserve">사과농축즙/5%/국내</t>
  </si>
  <si>
    <t xml:space="preserve">정제수/75%/국내</t>
  </si>
  <si>
    <t xml:space="preserve">비타민C/0.02%/중국</t>
  </si>
  <si>
    <t xml:space="preserve">구연산/0.08%/중국</t>
  </si>
  <si>
    <t xml:space="preserve">향료/0.9%/국내</t>
  </si>
  <si>
    <t xml:space="preserve">야채주스</t>
  </si>
  <si>
    <t xml:space="preserve">하루야채 그린</t>
  </si>
  <si>
    <t xml:space="preserve">케일농축즙/8%/국내</t>
  </si>
  <si>
    <t xml:space="preserve">브로콜리농축즙/6%/국내</t>
  </si>
  <si>
    <t xml:space="preserve">셀러리농축즙/4%/국내</t>
  </si>
  <si>
    <t xml:space="preserve">정제수/76%/국내</t>
  </si>
  <si>
    <t xml:space="preserve">향료/0.98%/국내</t>
  </si>
  <si>
    <t xml:space="preserve">녹색채소</t>
  </si>
  <si>
    <t xml:space="preserve">바나나는원래하얗다</t>
  </si>
  <si>
    <t xml:space="preserve">빙그레</t>
  </si>
  <si>
    <t xml:space="preserve">바나나농축과즙/15%/에콰도르</t>
  </si>
  <si>
    <t xml:space="preserve">액상과당/8%/국내</t>
  </si>
  <si>
    <t xml:space="preserve">탈지분유/1.5%/국내</t>
  </si>
  <si>
    <t xml:space="preserve">향료/0.3%/국내</t>
  </si>
  <si>
    <t xml:space="preserve">유화제/0.1%/국내</t>
  </si>
  <si>
    <t xml:space="preserve">비타민C/0.1%/중국</t>
  </si>
  <si>
    <t xml:space="preserve">PE(HDPE)</t>
  </si>
  <si>
    <r>
      <rPr>
        <sz val="9"/>
        <rFont val="Arial"/>
        <family val="0"/>
        <charset val="1"/>
      </rPr>
      <t xml:space="preserve">PE</t>
    </r>
    <r>
      <rPr>
        <sz val="9"/>
        <rFont val="Noto Sans CJK SC"/>
        <family val="2"/>
      </rPr>
      <t xml:space="preserve">용기</t>
    </r>
  </si>
  <si>
    <t xml:space="preserve">매경 NFC 제주당근</t>
  </si>
  <si>
    <t xml:space="preserve">매경HN</t>
  </si>
  <si>
    <t xml:space="preserve">당근착즙/100%/제주</t>
  </si>
  <si>
    <t xml:space="preserve">써니텐 오렌지</t>
  </si>
  <si>
    <t xml:space="preserve">액상과당/10%/국내</t>
  </si>
  <si>
    <t xml:space="preserve">오렌지농축과즙/10%/브라질</t>
  </si>
  <si>
    <t xml:space="preserve">구연산/0.3%/중국</t>
  </si>
  <si>
    <t xml:space="preserve">오렌지향/0.2%/국내</t>
  </si>
  <si>
    <t xml:space="preserve">베타카로틴/0.01%/독일</t>
  </si>
  <si>
    <t xml:space="preserve">캔</t>
  </si>
  <si>
    <t xml:space="preserve">캡리썬 오렌지</t>
  </si>
  <si>
    <t xml:space="preserve">농심</t>
  </si>
  <si>
    <t xml:space="preserve">정제수/74%/국내</t>
  </si>
  <si>
    <t xml:space="preserve">설탕/11%/호주</t>
  </si>
  <si>
    <t xml:space="preserve">오렌지농축과즙/12%/브라질</t>
  </si>
  <si>
    <t xml:space="preserve">오렌지향/0.15%/독일</t>
  </si>
  <si>
    <t xml:space="preserve">어린이용</t>
  </si>
  <si>
    <t xml:space="preserve">봉봉 포도</t>
  </si>
  <si>
    <t xml:space="preserve">정제수/72%/국내</t>
  </si>
  <si>
    <t xml:space="preserve">포도농축과즙/12%/칠레</t>
  </si>
  <si>
    <t xml:space="preserve">액상과당/9%/국내</t>
  </si>
  <si>
    <t xml:space="preserve">나타데코코/5%/태국</t>
  </si>
  <si>
    <t xml:space="preserve">포도향/0.2%/국내</t>
  </si>
  <si>
    <t xml:space="preserve">안토시아닌/0.01%/이탈리아</t>
  </si>
  <si>
    <t xml:space="preserve">과립함유</t>
  </si>
  <si>
    <t xml:space="preserve">미닛메이드 스파클링포도</t>
  </si>
  <si>
    <t xml:space="preserve">정제수/70%/국내</t>
  </si>
  <si>
    <t xml:space="preserve">포도농축과즙/10%/칠레</t>
  </si>
  <si>
    <t xml:space="preserve">탄산가스/3%/국내</t>
  </si>
  <si>
    <t xml:space="preserve">탄산과즙</t>
  </si>
  <si>
    <t xml:space="preserve">트로피카나 스파클링레몬</t>
  </si>
  <si>
    <t xml:space="preserve">레몬농축과즙/5%/아르헨티나</t>
  </si>
  <si>
    <t xml:space="preserve">구연산/0.5%/중국</t>
  </si>
  <si>
    <t xml:space="preserve">레몬향/0.2%/국내</t>
  </si>
  <si>
    <t xml:space="preserve">비타민C/0.05%/중국</t>
  </si>
  <si>
    <t xml:space="preserve">닥터유 제주감귤</t>
  </si>
  <si>
    <t xml:space="preserve">오리온</t>
  </si>
  <si>
    <t xml:space="preserve">정제수/68%/국내</t>
  </si>
  <si>
    <t xml:space="preserve">감귤과즙/25%/제주</t>
  </si>
  <si>
    <t xml:space="preserve">액상과당/5%/국내</t>
  </si>
  <si>
    <t xml:space="preserve">구연산/0.2%/중국</t>
  </si>
  <si>
    <t xml:space="preserve">감귤향/0.1%/국내</t>
  </si>
  <si>
    <t xml:space="preserve">유기농</t>
  </si>
  <si>
    <t xml:space="preserve">델몬트 콜드 오렌지</t>
  </si>
  <si>
    <t xml:space="preserve">정제수/45%/국내</t>
  </si>
  <si>
    <t xml:space="preserve">오렌지농축과즙/50%/브라질</t>
  </si>
  <si>
    <t xml:space="preserve">오렌지향/0.1%/국내</t>
  </si>
  <si>
    <t xml:space="preserve">과즙50%</t>
  </si>
  <si>
    <r>
      <rPr>
        <sz val="9"/>
        <rFont val="Arial"/>
        <family val="0"/>
        <charset val="1"/>
      </rPr>
      <t xml:space="preserve">ABC</t>
    </r>
    <r>
      <rPr>
        <sz val="9"/>
        <rFont val="Noto Sans CJK SC"/>
        <family val="2"/>
      </rPr>
      <t xml:space="preserve">주스</t>
    </r>
  </si>
  <si>
    <t xml:space="preserve">사과착즙/40%/국내</t>
  </si>
  <si>
    <t xml:space="preserve">비트착즙/30%/국내</t>
  </si>
  <si>
    <t xml:space="preserve">당근착즙/30%/국내</t>
  </si>
  <si>
    <t xml:space="preserve">쿨피스 복숭아</t>
  </si>
  <si>
    <t xml:space="preserve">동아오츠카</t>
  </si>
  <si>
    <t xml:space="preserve">복숭아농축과즙/3%/중국</t>
  </si>
  <si>
    <t xml:space="preserve">탈지분유/2%/뉴질랜드</t>
  </si>
  <si>
    <t xml:space="preserve">구연산/0.4%/중국</t>
  </si>
  <si>
    <t xml:space="preserve">복숭아향/0.2%/국내</t>
  </si>
  <si>
    <t xml:space="preserve">젖산/0.1%/일본</t>
  </si>
  <si>
    <t xml:space="preserve">롯데 델몬트 알로에</t>
  </si>
  <si>
    <t xml:space="preserve">정제수/73%/국내</t>
  </si>
  <si>
    <t xml:space="preserve">알로에과육/10%/태국</t>
  </si>
  <si>
    <t xml:space="preserve">포도농축과즙/5%/칠레</t>
  </si>
  <si>
    <t xml:space="preserve">알로에향/0.1%/국내</t>
  </si>
  <si>
    <r>
      <rPr>
        <sz val="9"/>
        <rFont val="Arial"/>
        <family val="0"/>
        <charset val="1"/>
      </rPr>
      <t xml:space="preserve">CMC/0.05%/</t>
    </r>
    <r>
      <rPr>
        <sz val="9"/>
        <rFont val="Noto Sans CJK SC"/>
        <family val="2"/>
      </rPr>
      <t xml:space="preserve">일본</t>
    </r>
  </si>
  <si>
    <r>
      <rPr>
        <sz val="9"/>
        <rFont val="Arial"/>
        <family val="0"/>
        <charset val="1"/>
      </rPr>
      <t xml:space="preserve">PP(</t>
    </r>
    <r>
      <rPr>
        <sz val="9"/>
        <rFont val="Noto Sans CJK SC"/>
        <family val="2"/>
      </rPr>
      <t xml:space="preserve">내열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</si>
  <si>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PP</t>
    </r>
    <r>
      <rPr>
        <sz val="9"/>
        <rFont val="Noto Sans CJK SC"/>
        <family val="2"/>
      </rPr>
      <t xml:space="preserve">용기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과립</t>
    </r>
  </si>
  <si>
    <t xml:space="preserve">농심 웰치스 포도</t>
  </si>
  <si>
    <t xml:space="preserve">포도농축과즙/15%/칠레</t>
  </si>
  <si>
    <t xml:space="preserve">코코팜 망고</t>
  </si>
  <si>
    <t xml:space="preserve">망고농축과즙/12%/인도</t>
  </si>
  <si>
    <t xml:space="preserve">나타데코코/6%/태국</t>
  </si>
  <si>
    <t xml:space="preserve">망고향/0.2%/국내</t>
  </si>
  <si>
    <t xml:space="preserve">코카콜라 오리지널</t>
  </si>
  <si>
    <t xml:space="preserve">정제수/86%/국내</t>
  </si>
  <si>
    <t xml:space="preserve">카라멜색소/0.4%/국내</t>
  </si>
  <si>
    <t xml:space="preserve">인산/0.06%/일본</t>
  </si>
  <si>
    <t xml:space="preserve">천연향료/0.04%/미국</t>
  </si>
  <si>
    <t xml:space="preserve">카페인/0.01%/중국</t>
  </si>
  <si>
    <t xml:space="preserve">펩시콜라</t>
  </si>
  <si>
    <t xml:space="preserve">스프라이트</t>
  </si>
  <si>
    <t xml:space="preserve">레몬라임향/0.1%/미국</t>
  </si>
  <si>
    <t xml:space="preserve">레몬라임</t>
  </si>
  <si>
    <t xml:space="preserve">칠성사이다</t>
  </si>
  <si>
    <t xml:space="preserve">정제수/87%/국내</t>
  </si>
  <si>
    <t xml:space="preserve">액상과당/9.5%/국내</t>
  </si>
  <si>
    <t xml:space="preserve">구연산/0.35%/중국</t>
  </si>
  <si>
    <t xml:space="preserve">레몬라임향/0.1%/국내</t>
  </si>
  <si>
    <t xml:space="preserve">코카콜라 제로</t>
  </si>
  <si>
    <t xml:space="preserve">정제수/96%/국내</t>
  </si>
  <si>
    <t xml:space="preserve">아스파탐/0.05%/일본</t>
  </si>
  <si>
    <t xml:space="preserve">아세설팜K/0.03%/독일</t>
  </si>
  <si>
    <t xml:space="preserve">무설탕</t>
  </si>
  <si>
    <t xml:space="preserve">펩시 제로슈거</t>
  </si>
  <si>
    <t xml:space="preserve">인산/0.05%/일본</t>
  </si>
  <si>
    <t xml:space="preserve">수크랄로스/0.02%/중국</t>
  </si>
  <si>
    <t xml:space="preserve">환타 오렌지</t>
  </si>
  <si>
    <t xml:space="preserve">오렌지농축과즙/3%/브라질</t>
  </si>
  <si>
    <t xml:space="preserve">베타카로틴/0.02%/독일</t>
  </si>
  <si>
    <t xml:space="preserve">오렌지향/0.1%/미국</t>
  </si>
  <si>
    <t xml:space="preserve">닥터페퍼</t>
  </si>
  <si>
    <t xml:space="preserve">액상과당/10%/미국</t>
  </si>
  <si>
    <t xml:space="preserve">탄산가스/3%/미국</t>
  </si>
  <si>
    <t xml:space="preserve">카라멜색소/0.4%/미국</t>
  </si>
  <si>
    <t xml:space="preserve">인산/0.06%/미국</t>
  </si>
  <si>
    <t xml:space="preserve">천연향료/0.1%/미국</t>
  </si>
  <si>
    <t xml:space="preserve">카페인/0.01%/미국</t>
  </si>
  <si>
    <t xml:space="preserve">수입</t>
  </si>
  <si>
    <t xml:space="preserve">마운틴듀</t>
  </si>
  <si>
    <t xml:space="preserve">오렌지농축과즙/1%/브라질</t>
  </si>
  <si>
    <t xml:space="preserve">카페인/0.02%/중국</t>
  </si>
  <si>
    <t xml:space="preserve">황색4호/0.01%/국내</t>
  </si>
  <si>
    <t xml:space="preserve">밀키스</t>
  </si>
  <si>
    <t xml:space="preserve">탈지분유/4%/뉴질랜드</t>
  </si>
  <si>
    <t xml:space="preserve">유청분말/3%/네덜란드</t>
  </si>
  <si>
    <t xml:space="preserve">밀크향/0.15%/국내</t>
  </si>
  <si>
    <t xml:space="preserve">유성탄산</t>
  </si>
  <si>
    <t xml:space="preserve">이온더핏 스파클링</t>
  </si>
  <si>
    <r>
      <rPr>
        <sz val="9"/>
        <rFont val="Arial"/>
        <family val="0"/>
        <charset val="1"/>
      </rPr>
      <t xml:space="preserve">CJ</t>
    </r>
    <r>
      <rPr>
        <sz val="9"/>
        <rFont val="Noto Sans CJK SC"/>
        <family val="2"/>
      </rPr>
      <t xml:space="preserve">제일제당</t>
    </r>
  </si>
  <si>
    <t xml:space="preserve">정제수/88%/국내</t>
  </si>
  <si>
    <t xml:space="preserve">이소말트올리고당/5%/국내</t>
  </si>
  <si>
    <t xml:space="preserve">염화나트륨/0.15%/국내</t>
  </si>
  <si>
    <t xml:space="preserve">레몬향/0.1%/국내</t>
  </si>
  <si>
    <r>
      <rPr>
        <sz val="9"/>
        <rFont val="Arial"/>
        <family val="0"/>
        <charset val="1"/>
      </rPr>
      <t xml:space="preserve">PP</t>
    </r>
    <r>
      <rPr>
        <sz val="9"/>
        <rFont val="Noto Sans CJK SC"/>
        <family val="2"/>
      </rPr>
      <t xml:space="preserve">용기</t>
    </r>
  </si>
  <si>
    <t xml:space="preserve">웰치스 소다 포도</t>
  </si>
  <si>
    <t xml:space="preserve">트레비 레몬</t>
  </si>
  <si>
    <t xml:space="preserve">정제수/96.5%/국내</t>
  </si>
  <si>
    <t xml:space="preserve">레몬향/0.3%/국내</t>
  </si>
  <si>
    <t xml:space="preserve">플레이버</t>
  </si>
  <si>
    <t xml:space="preserve">씨그램 플레인</t>
  </si>
  <si>
    <t xml:space="preserve">정제수/97%/국내</t>
  </si>
  <si>
    <t xml:space="preserve">플레인</t>
  </si>
  <si>
    <t xml:space="preserve">초정탄산수</t>
  </si>
  <si>
    <t xml:space="preserve">일화</t>
  </si>
  <si>
    <t xml:space="preserve">천연광천수/97%/국내(청주)</t>
  </si>
  <si>
    <t xml:space="preserve">천연탄산수</t>
  </si>
  <si>
    <t xml:space="preserve">페리에</t>
  </si>
  <si>
    <t xml:space="preserve">네슬레</t>
  </si>
  <si>
    <t xml:space="preserve">천연탄산수/100%/프랑스</t>
  </si>
  <si>
    <t xml:space="preserve">산펠레그리노</t>
  </si>
  <si>
    <t xml:space="preserve">천연탄산수/100%/이탈리아</t>
  </si>
  <si>
    <t xml:space="preserve">백산수 스파클링</t>
  </si>
  <si>
    <t xml:space="preserve">백두산광천수/97%/중국</t>
  </si>
  <si>
    <t xml:space="preserve">조지아 오리지널</t>
  </si>
  <si>
    <t xml:space="preserve">우유/15%/국내</t>
  </si>
  <si>
    <t xml:space="preserve">설탕/8%/호주</t>
  </si>
  <si>
    <t xml:space="preserve">커피추출액/7%/콜롬비아</t>
  </si>
  <si>
    <t xml:space="preserve">탈지분유/1%/뉴질랜드</t>
  </si>
  <si>
    <t xml:space="preserve">유화제/0.3%/국내</t>
  </si>
  <si>
    <t xml:space="preserve">커피향/0.1%/국내</t>
  </si>
  <si>
    <t xml:space="preserve">레쓰비 마일드</t>
  </si>
  <si>
    <t xml:space="preserve">우유/12%/국내</t>
  </si>
  <si>
    <t xml:space="preserve">커피추출액/6%/브라질</t>
  </si>
  <si>
    <t xml:space="preserve">칸타타 프리미엄라떼</t>
  </si>
  <si>
    <t xml:space="preserve">정제수/55%/국내</t>
  </si>
  <si>
    <t xml:space="preserve">우유/25%/국내</t>
  </si>
  <si>
    <t xml:space="preserve">설탕/7%/호주</t>
  </si>
  <si>
    <t xml:space="preserve">커피추출액/10%/콜롬비아</t>
  </si>
  <si>
    <t xml:space="preserve">프리미엄</t>
  </si>
  <si>
    <t xml:space="preserve">스타벅스 더블샷</t>
  </si>
  <si>
    <t xml:space="preserve">동서식품</t>
  </si>
  <si>
    <t xml:space="preserve">정제수/50%/국내</t>
  </si>
  <si>
    <t xml:space="preserve">커피추출액/15%/콜롬비아</t>
  </si>
  <si>
    <t xml:space="preserve">RTD</t>
  </si>
  <si>
    <t xml:space="preserve">매일 바리스타 콜드브루</t>
  </si>
  <si>
    <t xml:space="preserve">우유/30%/국내</t>
  </si>
  <si>
    <t xml:space="preserve">콜드브루커피추출액/12%/에티오피아</t>
  </si>
  <si>
    <t xml:space="preserve">설탕/6%/호주</t>
  </si>
  <si>
    <t xml:space="preserve">콜드브루</t>
  </si>
  <si>
    <t xml:space="preserve">빙그레 아카페라 아메리카노</t>
  </si>
  <si>
    <t xml:space="preserve">커피추출액/12%/브라질</t>
  </si>
  <si>
    <t xml:space="preserve">구연산나트륨/0.2%/중국</t>
  </si>
  <si>
    <t xml:space="preserve">블랙</t>
  </si>
  <si>
    <t xml:space="preserve">맥심 TOP 아메리카노</t>
  </si>
  <si>
    <t xml:space="preserve">정제수/85%/국내</t>
  </si>
  <si>
    <t xml:space="preserve">커피추출액/14%/콜롬비아</t>
  </si>
  <si>
    <t xml:space="preserve">탄산수소나트륨/0.1%/국내</t>
  </si>
  <si>
    <t xml:space="preserve">프렌치카페 카페라떼</t>
  </si>
  <si>
    <t xml:space="preserve">우유/28%/국내</t>
  </si>
  <si>
    <t xml:space="preserve">커피추출액/10%/브라질</t>
  </si>
  <si>
    <t xml:space="preserve">탈지분유/3%/뉴질랜드</t>
  </si>
  <si>
    <r>
      <rPr>
        <sz val="9"/>
        <rFont val="Arial"/>
        <family val="0"/>
        <charset val="1"/>
      </rPr>
      <t xml:space="preserve">PP(</t>
    </r>
    <r>
      <rPr>
        <sz val="9"/>
        <rFont val="Noto Sans CJK SC"/>
        <family val="2"/>
      </rPr>
      <t xml:space="preserve">컵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</si>
  <si>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PP</t>
    </r>
    <r>
      <rPr>
        <sz val="9"/>
        <rFont val="Noto Sans CJK SC"/>
        <family val="2"/>
      </rPr>
      <t xml:space="preserve">컵용기</t>
    </r>
  </si>
  <si>
    <t xml:space="preserve">이디야 비니스트 아메리카노</t>
  </si>
  <si>
    <t xml:space="preserve">이디야</t>
  </si>
  <si>
    <t xml:space="preserve">커피추출액/13%/과테말라</t>
  </si>
  <si>
    <t xml:space="preserve">콜드브루 바빈스키</t>
  </si>
  <si>
    <t xml:space="preserve">콜드브루커피추출액/16%/에티오피아</t>
  </si>
  <si>
    <t xml:space="preserve">스페셜티</t>
  </si>
  <si>
    <t xml:space="preserve">매일 마이카페라떼</t>
  </si>
  <si>
    <t xml:space="preserve">정제수/48%/국내</t>
  </si>
  <si>
    <t xml:space="preserve">바닐라향/0.1%/국내</t>
  </si>
  <si>
    <t xml:space="preserve">서울우유 커피</t>
  </si>
  <si>
    <t xml:space="preserve">서울우유</t>
  </si>
  <si>
    <t xml:space="preserve">커피추출액/8%/브라질</t>
  </si>
  <si>
    <t xml:space="preserve">광동 옥수수수염차</t>
  </si>
  <si>
    <t xml:space="preserve">광동제약</t>
  </si>
  <si>
    <t xml:space="preserve">정제수/98%/국내</t>
  </si>
  <si>
    <t xml:space="preserve">옥수수수염추출물/1.5%/국내</t>
  </si>
  <si>
    <t xml:space="preserve">향료/0.05%/국내</t>
  </si>
  <si>
    <r>
      <rPr>
        <sz val="9"/>
        <rFont val="Arial"/>
        <family val="0"/>
        <charset val="1"/>
      </rPr>
      <t xml:space="preserve">17</t>
    </r>
    <r>
      <rPr>
        <sz val="9"/>
        <rFont val="Noto Sans CJK SC"/>
        <family val="2"/>
      </rPr>
      <t xml:space="preserve">차</t>
    </r>
  </si>
  <si>
    <r>
      <rPr>
        <sz val="9"/>
        <rFont val="Arial"/>
        <family val="0"/>
        <charset val="1"/>
      </rPr>
      <t xml:space="preserve">17</t>
    </r>
    <r>
      <rPr>
        <sz val="9"/>
        <rFont val="Noto Sans CJK SC"/>
        <family val="2"/>
      </rPr>
      <t xml:space="preserve">종곡물차추출물</t>
    </r>
    <r>
      <rPr>
        <sz val="9"/>
        <rFont val="Arial"/>
        <family val="0"/>
        <charset val="1"/>
      </rPr>
      <t xml:space="preserve">/3%/</t>
    </r>
    <r>
      <rPr>
        <sz val="9"/>
        <rFont val="Noto Sans CJK SC"/>
        <family val="2"/>
      </rPr>
      <t xml:space="preserve">국내</t>
    </r>
  </si>
  <si>
    <t xml:space="preserve">블렌딩차</t>
  </si>
  <si>
    <t xml:space="preserve">하늘보리</t>
  </si>
  <si>
    <t xml:space="preserve">웅진식품</t>
  </si>
  <si>
    <t xml:space="preserve">보리추출물/2%/국내</t>
  </si>
  <si>
    <t xml:space="preserve">광동 헛개차</t>
  </si>
  <si>
    <t xml:space="preserve">정제수/97.5%/국내</t>
  </si>
  <si>
    <t xml:space="preserve">헛개나무열매추출물/2%/국내</t>
  </si>
  <si>
    <t xml:space="preserve">립톤 아이스티 레몬</t>
  </si>
  <si>
    <t xml:space="preserve">유니레버</t>
  </si>
  <si>
    <t xml:space="preserve">설탕/10%/호주</t>
  </si>
  <si>
    <t xml:space="preserve">홍차추출물/3%/스리랑카</t>
  </si>
  <si>
    <t xml:space="preserve">레몬향/0.2%/영국</t>
  </si>
  <si>
    <t xml:space="preserve">카라멜색소/0.05%/국내</t>
  </si>
  <si>
    <t xml:space="preserve">아침햇살</t>
  </si>
  <si>
    <t xml:space="preserve">현미추출물/5%/국내</t>
  </si>
  <si>
    <t xml:space="preserve">향료/0.1%/국내</t>
  </si>
  <si>
    <t xml:space="preserve">곡물차</t>
  </si>
  <si>
    <t xml:space="preserve">광동 쌍화차</t>
  </si>
  <si>
    <t xml:space="preserve">쌍화추출물(작약,감초등)/5%/국내</t>
  </si>
  <si>
    <t xml:space="preserve">액상과당/7%/국내</t>
  </si>
  <si>
    <t xml:space="preserve">계피추출물/1%/베트남</t>
  </si>
  <si>
    <t xml:space="preserve">당귀추출물/0.5%/국내</t>
  </si>
  <si>
    <t xml:space="preserve">한방차</t>
  </si>
  <si>
    <t xml:space="preserve">담터 생강차</t>
  </si>
  <si>
    <t xml:space="preserve">담터</t>
  </si>
  <si>
    <t xml:space="preserve">정제수/83%/국내</t>
  </si>
  <si>
    <t xml:space="preserve">생강추출물/5%/국내</t>
  </si>
  <si>
    <t xml:space="preserve">벌꿀/5%/국내</t>
  </si>
  <si>
    <t xml:space="preserve">꽃샘 아침에꿀물</t>
  </si>
  <si>
    <t xml:space="preserve">꽃샘식품</t>
  </si>
  <si>
    <t xml:space="preserve">벌꿀/6%/국내</t>
  </si>
  <si>
    <t xml:space="preserve">레몬농축과즙/3%/아르헨티나</t>
  </si>
  <si>
    <t xml:space="preserve">보성녹차</t>
  </si>
  <si>
    <t xml:space="preserve">동원F&amp;B</t>
  </si>
  <si>
    <t xml:space="preserve">녹차추출물/1.5%/보성</t>
  </si>
  <si>
    <t xml:space="preserve">향료/0.03%/국내</t>
  </si>
  <si>
    <t xml:space="preserve">베지밀 오리지널</t>
  </si>
  <si>
    <t xml:space="preserve">정식품</t>
  </si>
  <si>
    <t xml:space="preserve">대두/12%/국내</t>
  </si>
  <si>
    <t xml:space="preserve">식물성유지/4%/말레이시아</t>
  </si>
  <si>
    <t xml:space="preserve">대두단백/3%/국내</t>
  </si>
  <si>
    <t xml:space="preserve">향료/0.2%/국내</t>
  </si>
  <si>
    <t xml:space="preserve">삼육두유 검은콩</t>
  </si>
  <si>
    <t xml:space="preserve">삼육식품</t>
  </si>
  <si>
    <t xml:space="preserve">검은콩/10%/국내</t>
  </si>
  <si>
    <t xml:space="preserve">매일 소이라떼</t>
  </si>
  <si>
    <t xml:space="preserve">정제수/60%/국내</t>
  </si>
  <si>
    <t xml:space="preserve">대두/10%/국내</t>
  </si>
  <si>
    <t xml:space="preserve">유화제/0.2%/국내</t>
  </si>
  <si>
    <t xml:space="preserve">커피두유</t>
  </si>
  <si>
    <t xml:space="preserve">베지밀 인펀트</t>
  </si>
  <si>
    <t xml:space="preserve">대두단백/10%/국내</t>
  </si>
  <si>
    <t xml:space="preserve">식물성유지/6%/말레이시아</t>
  </si>
  <si>
    <t xml:space="preserve">비타민프리믹스/2%/미국</t>
  </si>
  <si>
    <t xml:space="preserve">미네랄프리믹스/2%/미국</t>
  </si>
  <si>
    <t xml:space="preserve">설탕/4%/호주</t>
  </si>
  <si>
    <t xml:space="preserve">영유아용</t>
  </si>
  <si>
    <t xml:space="preserve">연세두유 뼈에쏙쏙</t>
  </si>
  <si>
    <t xml:space="preserve">연세우유</t>
  </si>
  <si>
    <t xml:space="preserve">탄산칼슘/2%/일본</t>
  </si>
  <si>
    <t xml:space="preserve">대두단백/2%/국내</t>
  </si>
  <si>
    <t xml:space="preserve">정식품 검은콩깨두유</t>
  </si>
  <si>
    <t xml:space="preserve">참깨/5%/국내</t>
  </si>
  <si>
    <t xml:space="preserve">매일 오트밀크</t>
  </si>
  <si>
    <t xml:space="preserve">귀리/10%/핀란드</t>
  </si>
  <si>
    <t xml:space="preserve">설탕/3%/호주</t>
  </si>
  <si>
    <t xml:space="preserve">해바라기유/1.5%/국내</t>
  </si>
  <si>
    <t xml:space="preserve">탄산칼슘/0.5%/일본</t>
  </si>
  <si>
    <t xml:space="preserve">식물성대체유</t>
  </si>
  <si>
    <t xml:space="preserve">레드불</t>
  </si>
  <si>
    <t xml:space="preserve">정제수/80%/오스트리아</t>
  </si>
  <si>
    <t xml:space="preserve">설탕/11%/EU</t>
  </si>
  <si>
    <t xml:space="preserve">타우린/0.4%/일본</t>
  </si>
  <si>
    <t xml:space="preserve">카페인/0.03%/중국</t>
  </si>
  <si>
    <t xml:space="preserve">비타민B군프리믹스/0.1%/독일</t>
  </si>
  <si>
    <t xml:space="preserve">향료/0.1%/오스트리아</t>
  </si>
  <si>
    <t xml:space="preserve">몬스터 에너지</t>
  </si>
  <si>
    <t xml:space="preserve">정제수/78%/미국</t>
  </si>
  <si>
    <t xml:space="preserve">설탕/12%/미국</t>
  </si>
  <si>
    <t xml:space="preserve">카페인/0.04%/중국</t>
  </si>
  <si>
    <t xml:space="preserve">인삼추출물/0.1%/한국</t>
  </si>
  <si>
    <t xml:space="preserve">비타민B군/0.1%/독일</t>
  </si>
  <si>
    <t xml:space="preserve">핫식스</t>
  </si>
  <si>
    <t xml:space="preserve">가라나추출물/0.2%/브라질</t>
  </si>
  <si>
    <t xml:space="preserve">셀렉스 파워부스터</t>
  </si>
  <si>
    <t xml:space="preserve">아르기닌/1%/일본</t>
  </si>
  <si>
    <t xml:space="preserve">타우린/0.3%/일본</t>
  </si>
  <si>
    <t xml:space="preserve">번 인텐스</t>
  </si>
  <si>
    <t xml:space="preserve">경남제약 레모나 에너지</t>
  </si>
  <si>
    <t xml:space="preserve">경남제약</t>
  </si>
  <si>
    <t xml:space="preserve">비타민C/0.5%/중국</t>
  </si>
  <si>
    <t xml:space="preserve">이온음료</t>
  </si>
  <si>
    <t xml:space="preserve">포카리스웨트</t>
  </si>
  <si>
    <t xml:space="preserve">정제수/90%/국내</t>
  </si>
  <si>
    <t xml:space="preserve">액상과당/6%/국내</t>
  </si>
  <si>
    <t xml:space="preserve">염화나트륨/0.12%/국내</t>
  </si>
  <si>
    <t xml:space="preserve">염화칼륨/0.04%/일본</t>
  </si>
  <si>
    <t xml:space="preserve">구연산나트륨/0.15%/중국</t>
  </si>
  <si>
    <t xml:space="preserve">향료/0.1%/일본</t>
  </si>
  <si>
    <t xml:space="preserve">게토레이</t>
  </si>
  <si>
    <t xml:space="preserve">정제수/91%/국내</t>
  </si>
  <si>
    <t xml:space="preserve">인산나트륨/0.05%/일본</t>
  </si>
  <si>
    <t xml:space="preserve">향료/0.1%/미국</t>
  </si>
  <si>
    <t xml:space="preserve">파워에이드</t>
  </si>
  <si>
    <t xml:space="preserve">비타민B군/0.05%/독일</t>
  </si>
  <si>
    <t xml:space="preserve">토레타</t>
  </si>
  <si>
    <t xml:space="preserve">정제수/94%/국내</t>
  </si>
  <si>
    <t xml:space="preserve">액상과당/3%/국내</t>
  </si>
  <si>
    <t xml:space="preserve">염화나트륨/0.1%/국내</t>
  </si>
  <si>
    <t xml:space="preserve">자몽향/0.1%/미국</t>
  </si>
  <si>
    <t xml:space="preserve">스테비아/0.005%/중국</t>
  </si>
  <si>
    <t xml:space="preserve">저칼로리</t>
  </si>
  <si>
    <t xml:space="preserve">나랑드사이다 스포츠</t>
  </si>
  <si>
    <t xml:space="preserve">구연산나트륨/0.1%/중국</t>
  </si>
  <si>
    <t xml:space="preserve">탄산이온</t>
  </si>
  <si>
    <t xml:space="preserve">링티</t>
  </si>
  <si>
    <t xml:space="preserve">링거워터</t>
  </si>
  <si>
    <t xml:space="preserve">정제수/95%/국내</t>
  </si>
  <si>
    <t xml:space="preserve">포도당/2%/국내</t>
  </si>
  <si>
    <t xml:space="preserve">염화나트륨/0.3%/국내</t>
  </si>
  <si>
    <t xml:space="preserve">염화칼륨/0.1%/일본</t>
  </si>
  <si>
    <t xml:space="preserve">레몬향/0.05%/국내</t>
  </si>
  <si>
    <r>
      <rPr>
        <sz val="9"/>
        <rFont val="Arial"/>
        <family val="0"/>
        <charset val="1"/>
      </rPr>
      <t xml:space="preserve">PP(</t>
    </r>
    <r>
      <rPr>
        <sz val="9"/>
        <rFont val="Noto Sans CJK SC"/>
        <family val="2"/>
      </rPr>
      <t xml:space="preserve">스파우트파우치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</si>
  <si>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PP</t>
    </r>
    <r>
      <rPr>
        <sz val="9"/>
        <rFont val="Noto Sans CJK SC"/>
        <family val="2"/>
      </rPr>
      <t xml:space="preserve">파우치</t>
    </r>
  </si>
  <si>
    <t xml:space="preserve">비타500</t>
  </si>
  <si>
    <t xml:space="preserve">비타민워터</t>
  </si>
  <si>
    <t xml:space="preserve">정제수/92%/국내</t>
  </si>
  <si>
    <t xml:space="preserve">비타민B6/0.01%/독일</t>
  </si>
  <si>
    <t xml:space="preserve">데일리C 레몬</t>
  </si>
  <si>
    <t xml:space="preserve">비타파워</t>
  </si>
  <si>
    <t xml:space="preserve">비타민C/0.3%/중국</t>
  </si>
  <si>
    <t xml:space="preserve">유한양행 컨디션</t>
  </si>
  <si>
    <t xml:space="preserve">유한양행</t>
  </si>
  <si>
    <t xml:space="preserve">헛개추출물/3%/국내</t>
  </si>
  <si>
    <t xml:space="preserve">강황추출물/2%/인도</t>
  </si>
  <si>
    <t xml:space="preserve">숙취해소</t>
  </si>
  <si>
    <t xml:space="preserve">야쿠르트 라이트</t>
  </si>
  <si>
    <t xml:space="preserve">탈지분유/15%/뉴질랜드</t>
  </si>
  <si>
    <t xml:space="preserve">액상과당/12%/국내</t>
  </si>
  <si>
    <t xml:space="preserve">유산균배양액/10%/국내</t>
  </si>
  <si>
    <r>
      <rPr>
        <sz val="9"/>
        <rFont val="Arial"/>
        <family val="0"/>
        <charset val="1"/>
      </rPr>
      <t xml:space="preserve">PS</t>
    </r>
    <r>
      <rPr>
        <sz val="9"/>
        <rFont val="Noto Sans CJK SC"/>
        <family val="2"/>
      </rPr>
      <t xml:space="preserve">용기</t>
    </r>
  </si>
  <si>
    <t xml:space="preserve">냉장</t>
  </si>
  <si>
    <t xml:space="preserve">윌</t>
  </si>
  <si>
    <t xml:space="preserve">탈지분유/18%/뉴질랜드</t>
  </si>
  <si>
    <t xml:space="preserve">유산균배양액/12%/국내</t>
  </si>
  <si>
    <t xml:space="preserve">프락토올리고당/8%/국내</t>
  </si>
  <si>
    <t xml:space="preserve">비타민D/0.01%/독일</t>
  </si>
  <si>
    <t xml:space="preserve">불가리스</t>
  </si>
  <si>
    <t xml:space="preserve">탈지분유/17%/뉴질랜드</t>
  </si>
  <si>
    <t xml:space="preserve">프락토올리고당/3%/국내</t>
  </si>
  <si>
    <t xml:space="preserve">탈지분유/12%/뉴질랜드</t>
  </si>
  <si>
    <t xml:space="preserve">유산균배양액(살균)/6%/국내</t>
  </si>
  <si>
    <t xml:space="preserve">상온</t>
  </si>
  <si>
    <t xml:space="preserve">장에는장</t>
  </si>
  <si>
    <t xml:space="preserve">정제수/56%/국내</t>
  </si>
  <si>
    <t xml:space="preserve">탈지분유/16%/뉴질랜드</t>
  </si>
  <si>
    <t xml:space="preserve">이소말트올리고당/8%/국내</t>
  </si>
  <si>
    <t xml:space="preserve">뚱뚱이 유산균</t>
  </si>
  <si>
    <t xml:space="preserve">정제수/58%/국내</t>
  </si>
  <si>
    <t xml:space="preserve">유산균배양액/11%/국내</t>
  </si>
  <si>
    <t xml:space="preserve">딸기향/0.2%/국내</t>
  </si>
  <si>
    <t xml:space="preserve">색소/0.01%/국내</t>
  </si>
  <si>
    <t xml:space="preserve">코코팜</t>
  </si>
  <si>
    <t xml:space="preserve">코코넛과즙/8%/태국</t>
  </si>
  <si>
    <t xml:space="preserve">코코넛향/0.2%/태국</t>
  </si>
  <si>
    <t xml:space="preserve">맥콜</t>
  </si>
  <si>
    <t xml:space="preserve">보리추출물/5%/국내</t>
  </si>
  <si>
    <t xml:space="preserve">카라멜색소/0.2%/국내</t>
  </si>
  <si>
    <t xml:space="preserve">보리탄산</t>
  </si>
  <si>
    <t xml:space="preserve">갈배사이다</t>
  </si>
  <si>
    <t xml:space="preserve">배농축과즙/8%/국내</t>
  </si>
  <si>
    <t xml:space="preserve">배향/0.2%/국내</t>
  </si>
  <si>
    <t xml:space="preserve">알로에킹</t>
  </si>
  <si>
    <t xml:space="preserve">OKF</t>
  </si>
  <si>
    <t xml:space="preserve">알로에향/0.2%/국내</t>
  </si>
  <si>
    <t xml:space="preserve">코코넛워터</t>
  </si>
  <si>
    <t xml:space="preserve">코코넛워터/95%/태국</t>
  </si>
  <si>
    <t xml:space="preserve">바나나맛 우유</t>
  </si>
  <si>
    <t xml:space="preserve">정제수/52%/국내</t>
  </si>
  <si>
    <t xml:space="preserve">원유/30%/국내</t>
  </si>
  <si>
    <t xml:space="preserve">설탕/9%/호주</t>
  </si>
  <si>
    <t xml:space="preserve">바나나농축과즙/3%/에콰도르</t>
  </si>
  <si>
    <t xml:space="preserve">식물성유지/2%/말레이시아</t>
  </si>
  <si>
    <t xml:space="preserve">바나나향/0.3%/국내</t>
  </si>
  <si>
    <r>
      <rPr>
        <sz val="9"/>
        <rFont val="Arial"/>
        <family val="0"/>
        <charset val="1"/>
      </rPr>
      <t xml:space="preserve">PE</t>
    </r>
    <r>
      <rPr>
        <sz val="9"/>
        <rFont val="Noto Sans CJK SC"/>
        <family val="2"/>
      </rPr>
      <t xml:space="preserve">대표제품</t>
    </r>
  </si>
  <si>
    <t xml:space="preserve">정관장 홍삼톤</t>
  </si>
  <si>
    <r>
      <rPr>
        <sz val="9"/>
        <rFont val="Arial"/>
        <family val="0"/>
        <charset val="1"/>
      </rPr>
      <t xml:space="preserve">KGC</t>
    </r>
    <r>
      <rPr>
        <sz val="9"/>
        <rFont val="Noto Sans CJK SC"/>
        <family val="2"/>
      </rPr>
      <t xml:space="preserve">인삼공사</t>
    </r>
  </si>
  <si>
    <t xml:space="preserve">홍삼농축액/8%/국내(풍기)</t>
  </si>
  <si>
    <t xml:space="preserve">대추추출물/3%/국내</t>
  </si>
  <si>
    <t xml:space="preserve">감초추출물/2%/국내</t>
  </si>
  <si>
    <t xml:space="preserve">생강추출물/1%/국내</t>
  </si>
  <si>
    <t xml:space="preserve">건강기능식품</t>
  </si>
  <si>
    <r>
      <rPr>
        <sz val="9"/>
        <rFont val="Arial"/>
        <family val="0"/>
        <charset val="1"/>
      </rPr>
      <t xml:space="preserve">CJ </t>
    </r>
    <r>
      <rPr>
        <sz val="9"/>
        <rFont val="Noto Sans CJK SC"/>
        <family val="2"/>
      </rPr>
      <t xml:space="preserve">한뿌리 홍삼</t>
    </r>
  </si>
  <si>
    <t xml:space="preserve">홍삼농축액/6%/국내</t>
  </si>
  <si>
    <t xml:space="preserve">광동 홍삼담은</t>
  </si>
  <si>
    <t xml:space="preserve">홍삼추출물/5%/국내</t>
  </si>
  <si>
    <t xml:space="preserve">대추추출물/4%/국내</t>
  </si>
  <si>
    <t xml:space="preserve">생강추출물/2%/국내</t>
  </si>
  <si>
    <t xml:space="preserve">액상과당/4%/국내</t>
  </si>
  <si>
    <t xml:space="preserve">풍기인삼 홍삼정</t>
  </si>
  <si>
    <t xml:space="preserve">풍기인삼</t>
  </si>
  <si>
    <t xml:space="preserve">홍삼농축액/10%/풍기</t>
  </si>
  <si>
    <t xml:space="preserve">감초추출물/3%/국내</t>
  </si>
  <si>
    <t xml:space="preserve">대추추출물/2%/국내</t>
  </si>
  <si>
    <t xml:space="preserve">일화 천삼원</t>
  </si>
  <si>
    <t xml:space="preserve">인삼추출액/7%/금산</t>
  </si>
  <si>
    <t xml:space="preserve">당류/5%/국내</t>
  </si>
  <si>
    <t xml:space="preserve">비락식혜</t>
  </si>
  <si>
    <t xml:space="preserve">팔도</t>
  </si>
  <si>
    <t xml:space="preserve">엿기름추출물/10%/국내</t>
  </si>
  <si>
    <t xml:space="preserve">쌀/5%/국내</t>
  </si>
  <si>
    <t xml:space="preserve">소금/0.1%/국내</t>
  </si>
  <si>
    <t xml:space="preserve">전통음료</t>
  </si>
  <si>
    <t xml:space="preserve">팔도 수정과</t>
  </si>
  <si>
    <t xml:space="preserve">계피추출물/5%/베트남</t>
  </si>
  <si>
    <t xml:space="preserve">생강추출물/3%/국내</t>
  </si>
  <si>
    <t xml:space="preserve">곶감추출물/3%/국내</t>
  </si>
  <si>
    <t xml:space="preserve">잣/0.5%/국내</t>
  </si>
  <si>
    <t xml:space="preserve">롯데 식혜</t>
  </si>
  <si>
    <t xml:space="preserve">엿기름추출물/9%/국내</t>
  </si>
  <si>
    <t xml:space="preserve">동원 양반식혜</t>
  </si>
  <si>
    <t xml:space="preserve">정제수/71%/국내</t>
  </si>
  <si>
    <t xml:space="preserve">쌀/6%/국내</t>
  </si>
  <si>
    <t xml:space="preserve">웅진 수정과</t>
  </si>
  <si>
    <t xml:space="preserve">젤리음료</t>
  </si>
  <si>
    <t xml:space="preserve">오리히로 곤약젤리 포도</t>
  </si>
  <si>
    <t xml:space="preserve">오리히로</t>
  </si>
  <si>
    <t xml:space="preserve">정제수/65%/일본</t>
  </si>
  <si>
    <t xml:space="preserve">곤약분말/5%/일본</t>
  </si>
  <si>
    <t xml:space="preserve">액상과당/10%/일본</t>
  </si>
  <si>
    <t xml:space="preserve">구연산/0.3%/일본</t>
  </si>
  <si>
    <t xml:space="preserve">안토시아닌/0.02%/이탈리아</t>
  </si>
  <si>
    <r>
      <rPr>
        <sz val="9"/>
        <rFont val="Arial"/>
        <family val="0"/>
        <charset val="1"/>
      </rPr>
      <t xml:space="preserve">CJ </t>
    </r>
    <r>
      <rPr>
        <sz val="9"/>
        <rFont val="Noto Sans CJK SC"/>
        <family val="2"/>
      </rPr>
      <t xml:space="preserve">곤약젤리 복숭아</t>
    </r>
  </si>
  <si>
    <t xml:space="preserve">복숭아농축과즙/10%/중국</t>
  </si>
  <si>
    <t xml:space="preserve">곤약분말/5%/국내</t>
  </si>
  <si>
    <t xml:space="preserve">겔란검/0.1%/일본</t>
  </si>
  <si>
    <t xml:space="preserve">자연은 곤약젤리 사과</t>
  </si>
  <si>
    <t xml:space="preserve">사과농축과즙/10%/국내</t>
  </si>
  <si>
    <t xml:space="preserve">사과향/0.2%/국내</t>
  </si>
  <si>
    <t xml:space="preserve">오리히로 곤약젤리 망고</t>
  </si>
  <si>
    <t xml:space="preserve">닥터유 곤약젤리 딸기</t>
  </si>
  <si>
    <t xml:space="preserve">딸기농축과즙/10%/칠레</t>
  </si>
  <si>
    <t xml:space="preserve">이소말트올리고당/10%/국내</t>
  </si>
  <si>
    <t xml:space="preserve">시럽/잼류</t>
  </si>
  <si>
    <t xml:space="preserve">시럽</t>
  </si>
  <si>
    <t xml:space="preserve">딸기과즙시럽</t>
  </si>
  <si>
    <t xml:space="preserve">용도:S/Y</t>
  </si>
  <si>
    <t xml:space="preserve">포도시럽(NYD)</t>
  </si>
  <si>
    <t xml:space="preserve">고형량:31.5%, 용도:S/Y</t>
  </si>
  <si>
    <t xml:space="preserve">복숭아시럽4</t>
  </si>
  <si>
    <t xml:space="preserve">푸르밀</t>
  </si>
  <si>
    <t xml:space="preserve">고형량:25%, 용도:S/Y</t>
  </si>
  <si>
    <t xml:space="preserve">딸기시럽5</t>
  </si>
  <si>
    <t xml:space="preserve">고형량:21%, 용도:S/Y</t>
  </si>
  <si>
    <t xml:space="preserve">포도시럽</t>
  </si>
  <si>
    <t xml:space="preserve">고형량:30%, 용도:S/Y</t>
  </si>
  <si>
    <t xml:space="preserve">복숭아시럽A</t>
  </si>
  <si>
    <t xml:space="preserve">고형량:32%, 용도:S/Y</t>
  </si>
  <si>
    <t xml:space="preserve">딸기시럽A</t>
  </si>
  <si>
    <t xml:space="preserve">포도과즙시럽(닥터)</t>
  </si>
  <si>
    <t xml:space="preserve">용도:D/Y</t>
  </si>
  <si>
    <t xml:space="preserve">복숭아잼(HY1)</t>
  </si>
  <si>
    <t xml:space="preserve">딸기시럽9</t>
  </si>
  <si>
    <t xml:space="preserve">롯데제과</t>
  </si>
  <si>
    <t xml:space="preserve">용도:ICE</t>
  </si>
  <si>
    <t xml:space="preserve">포도시럽S</t>
  </si>
  <si>
    <t xml:space="preserve">고형량:18%, 용도:Stick yogurt</t>
  </si>
  <si>
    <t xml:space="preserve">복숭아시럽3</t>
  </si>
  <si>
    <t xml:space="preserve">딸기시럽N(칠레산)</t>
  </si>
  <si>
    <t xml:space="preserve">포도시럽(키즈)</t>
  </si>
  <si>
    <t xml:space="preserve">용도:Stick yogurt</t>
  </si>
  <si>
    <t xml:space="preserve">복숭아과육시럽(목장)</t>
  </si>
  <si>
    <t xml:space="preserve">고형량:35%, 용도:S/Y</t>
  </si>
  <si>
    <t xml:space="preserve">딸기시럽N(미국산)</t>
  </si>
  <si>
    <t xml:space="preserve">포도젤리시럽</t>
  </si>
  <si>
    <t xml:space="preserve">용도:얼려먹는요거트</t>
  </si>
  <si>
    <t xml:space="preserve">복숭아시럽</t>
  </si>
  <si>
    <t xml:space="preserve">고형량:50%, 용도:S/Y</t>
  </si>
  <si>
    <t xml:space="preserve">딸기시럽 H</t>
  </si>
  <si>
    <t xml:space="preserve">복숭아퓨레시럽</t>
  </si>
  <si>
    <t xml:space="preserve">고형량:14%, 용도:Stick yogurt</t>
  </si>
  <si>
    <t xml:space="preserve">딸기시럽(NYD)</t>
  </si>
  <si>
    <t xml:space="preserve">고형량:24%, 용도:S/Y</t>
  </si>
  <si>
    <t xml:space="preserve">복숭아시럽Y</t>
  </si>
  <si>
    <t xml:space="preserve">딸기시럽(요플레)</t>
  </si>
  <si>
    <t xml:space="preserve">복숭아젤리시럽</t>
  </si>
  <si>
    <t xml:space="preserve">고형량:18%, 용도:-</t>
  </si>
  <si>
    <t xml:space="preserve">딸기시럽(딜라이트)</t>
  </si>
  <si>
    <t xml:space="preserve">블루베리시럽(P)</t>
  </si>
  <si>
    <t xml:space="preserve">딸기시럽4(중국산100%)</t>
  </si>
  <si>
    <t xml:space="preserve">고형량:23%, 용도:S/Y</t>
  </si>
  <si>
    <t xml:space="preserve">블루베리시럽(VL)</t>
  </si>
  <si>
    <t xml:space="preserve">비락</t>
  </si>
  <si>
    <t xml:space="preserve">고형량:15%, 용도:S/Y</t>
  </si>
  <si>
    <t xml:space="preserve">딸기퓨레시럽</t>
  </si>
  <si>
    <t xml:space="preserve">고형량:18%, 용도:S/Y</t>
  </si>
  <si>
    <t xml:space="preserve">블루베리시럽(목장)</t>
  </si>
  <si>
    <t xml:space="preserve">고형량:22%, 용도:S/Y</t>
  </si>
  <si>
    <t xml:space="preserve">딸기과육시럽(S)</t>
  </si>
  <si>
    <t xml:space="preserve">블루베리잼(HY)</t>
  </si>
  <si>
    <t xml:space="preserve">감귤쌕시럽</t>
  </si>
  <si>
    <t xml:space="preserve">딸기시럽(바이오)</t>
  </si>
  <si>
    <t xml:space="preserve">블루베리시럽3</t>
  </si>
  <si>
    <t xml:space="preserve">딸기잼(HY1)</t>
  </si>
  <si>
    <t xml:space="preserve">블루베리시럽</t>
  </si>
  <si>
    <t xml:space="preserve">용도:가공유용</t>
  </si>
  <si>
    <t xml:space="preserve">딸기과육시럽Y</t>
  </si>
  <si>
    <t xml:space="preserve">고형량:35%, 용도:ICE</t>
  </si>
  <si>
    <t xml:space="preserve">딸기시럽(키즈)</t>
  </si>
  <si>
    <t xml:space="preserve">치아시드시럽</t>
  </si>
  <si>
    <t xml:space="preserve">고형량:58%, 용도:S/Y</t>
  </si>
  <si>
    <t xml:space="preserve">플레인시럽(요플레)</t>
  </si>
  <si>
    <t xml:space="preserve">플레인시럽(그릭)</t>
  </si>
  <si>
    <t xml:space="preserve">플레인시럽(목장)</t>
  </si>
  <si>
    <t xml:space="preserve">사과과육시럽</t>
  </si>
  <si>
    <t xml:space="preserve">고형량:28%, 용도:S/Y</t>
  </si>
  <si>
    <t xml:space="preserve">베리믹스시럽(NYD)</t>
  </si>
  <si>
    <t xml:space="preserve">고형량:14%, 용도:S/Y</t>
  </si>
  <si>
    <t xml:space="preserve">타피오카펄시럽</t>
  </si>
  <si>
    <t xml:space="preserve">사과시럽(도마슈노)-리뉴얼</t>
  </si>
  <si>
    <t xml:space="preserve">고형량:40%, 용도:D/Y</t>
  </si>
  <si>
    <t xml:space="preserve">크랜베리딸기시럽</t>
  </si>
  <si>
    <t xml:space="preserve">허니시럽(리뉴얼)</t>
  </si>
  <si>
    <t xml:space="preserve">사과과즙시럽D</t>
  </si>
  <si>
    <t xml:space="preserve">베리믹스시럽S</t>
  </si>
  <si>
    <t xml:space="preserve">고형량:20%, 용도:S/Y</t>
  </si>
  <si>
    <t xml:space="preserve">플레인시럽(닥터)</t>
  </si>
  <si>
    <t xml:space="preserve">사과과즙시럽(닥터2)</t>
  </si>
  <si>
    <t xml:space="preserve">베리믹스시럽</t>
  </si>
  <si>
    <t xml:space="preserve">고형량:30%, 용도:D/Y</t>
  </si>
  <si>
    <t xml:space="preserve">딸기알로에시럽</t>
  </si>
  <si>
    <t xml:space="preserve">고형량:35%, 용도:D/Y</t>
  </si>
  <si>
    <t xml:space="preserve">포도알로에시럽</t>
  </si>
  <si>
    <t xml:space="preserve">체리복숭아시럽</t>
  </si>
  <si>
    <t xml:space="preserve">고형량:22%, 용도:D/Y</t>
  </si>
  <si>
    <t xml:space="preserve">귀리시럽</t>
  </si>
  <si>
    <t xml:space="preserve">고형량:26%, 용도:D/Y</t>
  </si>
  <si>
    <t xml:space="preserve">꿀시럽</t>
  </si>
  <si>
    <t xml:space="preserve">밤시럽</t>
  </si>
  <si>
    <t xml:space="preserve">용도:파이용</t>
  </si>
  <si>
    <t xml:space="preserve">오렌지자몽시럽</t>
  </si>
  <si>
    <t xml:space="preserve">고형량:16%, 용도:S/Y</t>
  </si>
  <si>
    <t xml:space="preserve">파인애플시럽P</t>
  </si>
  <si>
    <t xml:space="preserve">고형량:48%, 용도:S/Y</t>
  </si>
  <si>
    <t xml:space="preserve">매실과즙시럽L</t>
  </si>
  <si>
    <t xml:space="preserve">파인애플시럽A</t>
  </si>
  <si>
    <t xml:space="preserve">키위시럽B</t>
  </si>
  <si>
    <t xml:space="preserve">용도:-</t>
  </si>
  <si>
    <t xml:space="preserve">키위시럽(NY)</t>
  </si>
  <si>
    <t xml:space="preserve">마운틴블루베리시럽</t>
  </si>
  <si>
    <t xml:space="preserve">자몽오렌지시럽</t>
  </si>
  <si>
    <t xml:space="preserve">키위시럽S</t>
  </si>
  <si>
    <t xml:space="preserve">혼합야채옐로우시럽</t>
  </si>
  <si>
    <t xml:space="preserve">혼합야채퍼플시럽</t>
  </si>
  <si>
    <t xml:space="preserve">열대혼합과일시럽(3)</t>
  </si>
  <si>
    <t xml:space="preserve">후르츠칵테일시럽B</t>
  </si>
  <si>
    <t xml:space="preserve">파인애플시럽(무향)</t>
  </si>
  <si>
    <t xml:space="preserve">신영무역</t>
  </si>
  <si>
    <t xml:space="preserve">고형량:35%, 용도:-</t>
  </si>
  <si>
    <t xml:space="preserve">잼</t>
  </si>
  <si>
    <t xml:space="preserve">동원 딸기잼</t>
  </si>
  <si>
    <t xml:space="preserve">잼이된통베리 (미니어처)</t>
  </si>
  <si>
    <t xml:space="preserve">과육이살아있는동원딸기쨈</t>
  </si>
  <si>
    <t xml:space="preserve">잼이된 통베리잼</t>
  </si>
  <si>
    <t xml:space="preserve">잼이된 통딸기잼</t>
  </si>
  <si>
    <t xml:space="preserve">내열성딸기잼</t>
  </si>
  <si>
    <t xml:space="preserve">CJ</t>
  </si>
  <si>
    <t xml:space="preserve">후르츠토핑 블루베리</t>
  </si>
  <si>
    <t xml:space="preserve">함박웃음 딸기쨈</t>
  </si>
  <si>
    <t xml:space="preserve">GS</t>
  </si>
  <si>
    <t xml:space="preserve">블루베리쨈M2</t>
  </si>
  <si>
    <t xml:space="preserve">딸기시럽</t>
  </si>
  <si>
    <t xml:space="preserve">라즈베리잼A</t>
  </si>
  <si>
    <t xml:space="preserve">SPC</t>
  </si>
  <si>
    <t xml:space="preserve">잼있는 쨈마을 - 딸기</t>
  </si>
  <si>
    <t xml:space="preserve">이마트</t>
  </si>
  <si>
    <t xml:space="preserve">동원 포도잼</t>
  </si>
  <si>
    <t xml:space="preserve">딸기잼2</t>
  </si>
  <si>
    <t xml:space="preserve">과육이살아있는동원포도쨈</t>
  </si>
  <si>
    <t xml:space="preserve">자연담은 푸드웰 딸기잼</t>
  </si>
  <si>
    <t xml:space="preserve">오픈마켓</t>
  </si>
  <si>
    <t xml:space="preserve">잼이된 통포도잼</t>
  </si>
  <si>
    <t xml:space="preserve">내열성 딸기잼</t>
  </si>
  <si>
    <t xml:space="preserve">함박웃음 포도쨈</t>
  </si>
  <si>
    <t xml:space="preserve">후르츠토핑 딸기</t>
  </si>
  <si>
    <t xml:space="preserve">잼있는 쨈마을 - 포도</t>
  </si>
  <si>
    <t xml:space="preserve">딸기잼(CR)</t>
  </si>
  <si>
    <t xml:space="preserve">크라운제과</t>
  </si>
  <si>
    <t xml:space="preserve">자연담은 푸드웰 포도잼</t>
  </si>
  <si>
    <t xml:space="preserve">딸기잼L</t>
  </si>
  <si>
    <t xml:space="preserve">후르츠토핑 사과</t>
  </si>
  <si>
    <t xml:space="preserve">내열성살구쨈(CH)</t>
  </si>
  <si>
    <t xml:space="preserve">청아</t>
  </si>
  <si>
    <t xml:space="preserve">살구쨈2(SA) </t>
  </si>
  <si>
    <t xml:space="preserve">만천네이처</t>
  </si>
  <si>
    <t xml:space="preserve">양파잼(이마트)</t>
  </si>
  <si>
    <t xml:space="preserve">음료류</t>
  </si>
  <si>
    <t xml:space="preserve">음료</t>
  </si>
  <si>
    <t xml:space="preserve">코코몽 딸기</t>
  </si>
  <si>
    <t xml:space="preserve">코코몽 포도</t>
  </si>
  <si>
    <t xml:space="preserve">코코몽 사과</t>
  </si>
  <si>
    <t xml:space="preserve">보보슝 딸기맛</t>
  </si>
  <si>
    <t xml:space="preserve">구일글로벌</t>
  </si>
  <si>
    <t xml:space="preserve">자연은140일포도</t>
  </si>
  <si>
    <t xml:space="preserve">델몬트 스카시 사과</t>
  </si>
  <si>
    <t xml:space="preserve">에이플러스키즈딸기</t>
  </si>
  <si>
    <t xml:space="preserve">델몬트  포도100</t>
  </si>
  <si>
    <t xml:space="preserve">타요 사과</t>
  </si>
  <si>
    <t xml:space="preserve">타요 포도</t>
  </si>
  <si>
    <t xml:space="preserve">따옴 사과주스</t>
  </si>
  <si>
    <t xml:space="preserve">보보슝 청포도맛</t>
  </si>
  <si>
    <t xml:space="preserve">아이키커사과</t>
  </si>
  <si>
    <t xml:space="preserve">한국인삼공사</t>
  </si>
  <si>
    <t xml:space="preserve">따옴 포도주스</t>
  </si>
  <si>
    <t xml:space="preserve">뉴튼(사과)</t>
  </si>
  <si>
    <t xml:space="preserve">뉴튼(블루베리)</t>
  </si>
  <si>
    <t xml:space="preserve">아이키커포도</t>
  </si>
  <si>
    <t xml:space="preserve">에이플러스키즈사과</t>
  </si>
  <si>
    <t xml:space="preserve">쿠우젤리 포도</t>
  </si>
  <si>
    <t xml:space="preserve">얼려먹는 환타 포도</t>
  </si>
  <si>
    <t xml:space="preserve">꿀홍삼</t>
  </si>
  <si>
    <t xml:space="preserve">자연은 제주감귤</t>
  </si>
  <si>
    <t xml:space="preserve">내사랑유자</t>
  </si>
  <si>
    <r>
      <rPr>
        <sz val="11"/>
        <color theme="1"/>
        <rFont val="Calibri"/>
        <family val="2"/>
        <charset val="1"/>
      </rPr>
      <t xml:space="preserve">V12(</t>
    </r>
    <r>
      <rPr>
        <sz val="11"/>
        <color theme="1"/>
        <rFont val="Noto Sans CJK SC"/>
        <family val="2"/>
      </rPr>
      <t xml:space="preserve">비타민워터</t>
    </r>
    <r>
      <rPr>
        <sz val="11"/>
        <color theme="1"/>
        <rFont val="Calibri"/>
        <family val="2"/>
        <charset val="1"/>
      </rPr>
      <t xml:space="preserve">)</t>
    </r>
  </si>
  <si>
    <t xml:space="preserve">롯데제주감귤 </t>
  </si>
  <si>
    <t xml:space="preserve">롯데칠성(서울)</t>
  </si>
  <si>
    <t xml:space="preserve">초록매실</t>
  </si>
  <si>
    <t xml:space="preserve">복숭아 티</t>
  </si>
  <si>
    <t xml:space="preserve">델몬트 스카시 제주감귤</t>
  </si>
  <si>
    <t xml:space="preserve">자연은토마토</t>
  </si>
  <si>
    <t xml:space="preserve">동원옥수수수염차</t>
  </si>
  <si>
    <t xml:space="preserve">상쾌한아침 제주감귤</t>
  </si>
  <si>
    <t xml:space="preserve">광동 비타500키즈</t>
  </si>
  <si>
    <t xml:space="preserve">동원보성녹차</t>
  </si>
  <si>
    <t xml:space="preserve">아이키커 제주감귤</t>
  </si>
  <si>
    <t xml:space="preserve">스카시 파인애플</t>
  </si>
  <si>
    <t xml:space="preserve">헛개차</t>
  </si>
  <si>
    <t xml:space="preserve">델몬트 스카시 파인애플</t>
  </si>
  <si>
    <t xml:space="preserve">델몬트 토마토</t>
  </si>
  <si>
    <t xml:space="preserve">상쾌한아침 토마토</t>
  </si>
  <si>
    <t xml:space="preserve">보보슝 바나나맛</t>
  </si>
  <si>
    <t xml:space="preserve">고칼슘오렌지</t>
  </si>
  <si>
    <t xml:space="preserve">델몬트  망고</t>
  </si>
  <si>
    <t xml:space="preserve">원두커피 헤이즐넛향</t>
  </si>
  <si>
    <t xml:space="preserve">대상</t>
  </si>
  <si>
    <t xml:space="preserve">자연은오렌지100</t>
  </si>
  <si>
    <t xml:space="preserve">델몬트망고스카시 </t>
  </si>
  <si>
    <t xml:space="preserve">카페시럽</t>
  </si>
  <si>
    <t xml:space="preserve">델몬트 오렌지100</t>
  </si>
  <si>
    <t xml:space="preserve">보보슝 망고맛</t>
  </si>
  <si>
    <t xml:space="preserve">슈가 카페시럽</t>
  </si>
  <si>
    <t xml:space="preserve">스카시 오렌지</t>
  </si>
  <si>
    <t xml:space="preserve">뉴튼(망고)</t>
  </si>
  <si>
    <t xml:space="preserve">리치스슈가시럽</t>
  </si>
  <si>
    <t xml:space="preserve">동서</t>
  </si>
  <si>
    <t xml:space="preserve">타요 오렌지</t>
  </si>
  <si>
    <t xml:space="preserve">미닛메이드 잘익은 망고</t>
  </si>
  <si>
    <t xml:space="preserve">롯데카페시럽</t>
  </si>
  <si>
    <t xml:space="preserve">롯데푸드</t>
  </si>
  <si>
    <t xml:space="preserve">아이키커오렌지 </t>
  </si>
  <si>
    <t xml:space="preserve">요거프레소시럽</t>
  </si>
  <si>
    <t xml:space="preserve">얼려먹는 환타 오렌지</t>
  </si>
  <si>
    <t xml:space="preserve">아침에주스 자몽</t>
  </si>
  <si>
    <t xml:space="preserve">뉴튼(과일야채)</t>
  </si>
  <si>
    <t xml:space="preserve">아기꼬야종합과일</t>
  </si>
  <si>
    <t xml:space="preserve">아기꼬야사과배</t>
  </si>
  <si>
    <t xml:space="preserve">델몬트 망고</t>
  </si>
  <si>
    <t xml:space="preserve">아기꼬야사과오렌지망고</t>
  </si>
  <si>
    <t xml:space="preserve">미닛메이드 포도&amp;아사이베리</t>
  </si>
  <si>
    <t xml:space="preserve">쿠우젤리 복숭아</t>
  </si>
  <si>
    <t xml:space="preserve">블루하와이</t>
  </si>
  <si>
    <t xml:space="preserve">후르츠젤리</t>
  </si>
  <si>
    <t xml:space="preserve">가공과일류</t>
  </si>
  <si>
    <t xml:space="preserve">통조림/퓨레</t>
  </si>
  <si>
    <t xml:space="preserve">사과퓨레(대상)</t>
  </si>
  <si>
    <t xml:space="preserve">배퓨레(대상)</t>
  </si>
  <si>
    <t xml:space="preserve">사과퓨레</t>
  </si>
  <si>
    <t xml:space="preserve">배퓨레(국산,CJ)</t>
  </si>
  <si>
    <t xml:space="preserve">고구마다이스(케익용)(CH)</t>
  </si>
  <si>
    <t xml:space="preserve">푸드웰 백도(국산)</t>
  </si>
  <si>
    <t xml:space="preserve">고구마페이스트</t>
  </si>
  <si>
    <t xml:space="preserve">밤감로자 11MM(CH)</t>
  </si>
  <si>
    <t xml:space="preserve">고구마다이스</t>
  </si>
  <si>
    <t xml:space="preserve">보늬밤페이스트</t>
  </si>
  <si>
    <t xml:space="preserve">베이크플러스</t>
  </si>
  <si>
    <t xml:space="preserve">백도펄프(국산)</t>
  </si>
  <si>
    <t xml:space="preserve">경북능금</t>
  </si>
  <si>
    <t xml:space="preserve">냉동포도과립</t>
  </si>
  <si>
    <t xml:space="preserve">푸드웰 황도슬라이스</t>
  </si>
  <si>
    <t xml:space="preserve">반으로자른부드러운황도</t>
  </si>
  <si>
    <t xml:space="preserve">반으로자른상큼한백도</t>
  </si>
  <si>
    <t xml:space="preserve">고구마다이스(1551219004)</t>
  </si>
  <si>
    <t xml:space="preserve">가실황도(156104001)</t>
  </si>
  <si>
    <t xml:space="preserve">냉동딸기</t>
  </si>
  <si>
    <t xml:space="preserve">냉동홍시</t>
  </si>
  <si>
    <t xml:space="preserve">가당냉동딸기F(소비자용)</t>
  </si>
  <si>
    <t xml:space="preserve">푸드웰달콤한밤</t>
  </si>
  <si>
    <t xml:space="preserve">황도슬라이스 CH(홈플러스)</t>
  </si>
  <si>
    <t xml:space="preserve">푸드웰 디저트 혼합구성</t>
  </si>
  <si>
    <r>
      <rPr>
        <sz val="11"/>
        <color theme="1"/>
        <rFont val="Calibri"/>
        <family val="2"/>
        <charset val="1"/>
      </rPr>
      <t xml:space="preserve">TEST 1508(</t>
    </r>
    <r>
      <rPr>
        <sz val="11"/>
        <color theme="1"/>
        <rFont val="Noto Sans CJK SC"/>
        <family val="2"/>
      </rPr>
      <t xml:space="preserve">플레인스프레드</t>
    </r>
    <r>
      <rPr>
        <sz val="11"/>
        <color theme="1"/>
        <rFont val="Calibri"/>
        <family val="2"/>
        <charset val="1"/>
      </rPr>
      <t xml:space="preserve">)</t>
    </r>
  </si>
  <si>
    <t xml:space="preserve">사과다이스(MDS)</t>
  </si>
  <si>
    <t xml:space="preserve">블루베리IQF</t>
  </si>
  <si>
    <t xml:space="preserve">냉동망고다이스</t>
  </si>
  <si>
    <t xml:space="preserve">칼로리 잼 3종(선물세트 포함)</t>
  </si>
  <si>
    <t xml:space="preserve">원료대분류</t>
  </si>
  <si>
    <t xml:space="preserve">원료소분류</t>
  </si>
  <si>
    <t xml:space="preserve">원료명</t>
  </si>
  <si>
    <t xml:space="preserve">Brix(°)</t>
  </si>
  <si>
    <t xml:space="preserve">감미도(설탕대비)</t>
  </si>
  <si>
    <t xml:space="preserve">주요성분</t>
  </si>
  <si>
    <t xml:space="preserve">공급형태</t>
  </si>
  <si>
    <t xml:space="preserve">보관조건</t>
  </si>
  <si>
    <t xml:space="preserve">예상단가(원/kg)</t>
  </si>
  <si>
    <r>
      <rPr>
        <b val="true"/>
        <sz val="10"/>
        <rFont val="맑은 고딕"/>
        <family val="0"/>
        <charset val="1"/>
      </rPr>
      <t xml:space="preserve">1%</t>
    </r>
    <r>
      <rPr>
        <b val="true"/>
        <sz val="10"/>
        <rFont val="Noto Sans CJK SC"/>
        <family val="2"/>
      </rPr>
      <t xml:space="preserve">사용시 </t>
    </r>
    <r>
      <rPr>
        <b val="true"/>
        <sz val="10"/>
        <rFont val="맑은 고딕"/>
        <family val="0"/>
        <charset val="1"/>
      </rPr>
      <t xml:space="preserve">Brix</t>
    </r>
    <r>
      <rPr>
        <b val="true"/>
        <sz val="10"/>
        <rFont val="Noto Sans CJK SC"/>
        <family val="2"/>
      </rPr>
      <t xml:space="preserve">기여</t>
    </r>
    <r>
      <rPr>
        <b val="true"/>
        <sz val="10"/>
        <rFont val="맑은 고딕"/>
        <family val="0"/>
        <charset val="1"/>
      </rPr>
      <t xml:space="preserve">(°)</t>
    </r>
  </si>
  <si>
    <r>
      <rPr>
        <b val="true"/>
        <sz val="10"/>
        <rFont val="맑은 고딕"/>
        <family val="0"/>
        <charset val="1"/>
      </rPr>
      <t xml:space="preserve">1%</t>
    </r>
    <r>
      <rPr>
        <b val="true"/>
        <sz val="10"/>
        <rFont val="Noto Sans CJK SC"/>
        <family val="2"/>
      </rPr>
      <t xml:space="preserve">사용시 </t>
    </r>
    <r>
      <rPr>
        <b val="true"/>
        <sz val="10"/>
        <rFont val="맑은 고딕"/>
        <family val="0"/>
        <charset val="1"/>
      </rPr>
      <t xml:space="preserve">pH</t>
    </r>
    <r>
      <rPr>
        <b val="true"/>
        <sz val="10"/>
        <rFont val="Noto Sans CJK SC"/>
        <family val="2"/>
      </rPr>
      <t xml:space="preserve">영향</t>
    </r>
  </si>
  <si>
    <r>
      <rPr>
        <b val="true"/>
        <sz val="10"/>
        <rFont val="맑은 고딕"/>
        <family val="0"/>
        <charset val="1"/>
      </rPr>
      <t xml:space="preserve">1%</t>
    </r>
    <r>
      <rPr>
        <b val="true"/>
        <sz val="10"/>
        <rFont val="Noto Sans CJK SC"/>
        <family val="2"/>
      </rPr>
      <t xml:space="preserve">사용시 산도기여</t>
    </r>
    <r>
      <rPr>
        <b val="true"/>
        <sz val="10"/>
        <rFont val="맑은 고딕"/>
        <family val="0"/>
        <charset val="1"/>
      </rPr>
      <t xml:space="preserve">(%)</t>
    </r>
  </si>
  <si>
    <r>
      <rPr>
        <b val="true"/>
        <sz val="10"/>
        <rFont val="맑은 고딕"/>
        <family val="0"/>
        <charset val="1"/>
      </rPr>
      <t xml:space="preserve">1%</t>
    </r>
    <r>
      <rPr>
        <b val="true"/>
        <sz val="10"/>
        <rFont val="Noto Sans CJK SC"/>
        <family val="2"/>
      </rPr>
      <t xml:space="preserve">사용시 감미기여</t>
    </r>
  </si>
  <si>
    <t xml:space="preserve">과즙농축액</t>
  </si>
  <si>
    <t xml:space="preserve">감귤류</t>
  </si>
  <si>
    <t xml:space="preserve">오렌지농축과즙(65Brix)</t>
  </si>
  <si>
    <t xml:space="preserve">비타민C, 구연산, 헤스페리딘</t>
  </si>
  <si>
    <t xml:space="preserve">액상(드럼)</t>
  </si>
  <si>
    <t xml:space="preserve">냉장 0~5℃</t>
  </si>
  <si>
    <r>
      <rPr>
        <sz val="9"/>
        <rFont val="Arial"/>
        <family val="0"/>
        <charset val="1"/>
      </rPr>
      <t xml:space="preserve">↓3.5</t>
    </r>
    <r>
      <rPr>
        <sz val="9"/>
        <rFont val="Noto Sans CJK SC"/>
        <family val="2"/>
      </rPr>
      <t xml:space="preserve">방향</t>
    </r>
  </si>
  <si>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배농축</t>
    </r>
  </si>
  <si>
    <t xml:space="preserve">자몽농축과즙(55Brix)</t>
  </si>
  <si>
    <t xml:space="preserve">나린진, 비타민C, 구연산</t>
  </si>
  <si>
    <r>
      <rPr>
        <sz val="9"/>
        <rFont val="Arial"/>
        <family val="0"/>
        <charset val="1"/>
      </rPr>
      <t xml:space="preserve">↓3.0</t>
    </r>
    <r>
      <rPr>
        <sz val="9"/>
        <rFont val="Noto Sans CJK SC"/>
        <family val="2"/>
      </rPr>
      <t xml:space="preserve">방향</t>
    </r>
  </si>
  <si>
    <t xml:space="preserve">레몬농축과즙(45Brix)</t>
  </si>
  <si>
    <t xml:space="preserve">구연산, 비타민C, 리모넨</t>
  </si>
  <si>
    <r>
      <rPr>
        <sz val="9"/>
        <rFont val="Arial"/>
        <family val="0"/>
        <charset val="1"/>
      </rPr>
      <t xml:space="preserve">↓2.2</t>
    </r>
    <r>
      <rPr>
        <sz val="9"/>
        <rFont val="Noto Sans CJK SC"/>
        <family val="2"/>
      </rPr>
      <t xml:space="preserve">방향</t>
    </r>
  </si>
  <si>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배농축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고산</t>
    </r>
  </si>
  <si>
    <t xml:space="preserve">라임농축과즙(45Brix)</t>
  </si>
  <si>
    <t xml:space="preserve">구연산, 비타민C</t>
  </si>
  <si>
    <r>
      <rPr>
        <sz val="9"/>
        <rFont val="Arial"/>
        <family val="0"/>
        <charset val="1"/>
      </rPr>
      <t xml:space="preserve">↓2.0</t>
    </r>
    <r>
      <rPr>
        <sz val="9"/>
        <rFont val="Noto Sans CJK SC"/>
        <family val="2"/>
      </rPr>
      <t xml:space="preserve">방향</t>
    </r>
  </si>
  <si>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배농축</t>
    </r>
  </si>
  <si>
    <t xml:space="preserve">감귤농축과즙(60Brix)</t>
  </si>
  <si>
    <t xml:space="preserve">비타민C, 헤스페리딘</t>
  </si>
  <si>
    <t xml:space="preserve">유자농축과즙(55Brix)</t>
  </si>
  <si>
    <t xml:space="preserve">유자향(리모넨), 비타민C</t>
  </si>
  <si>
    <r>
      <rPr>
        <sz val="9"/>
        <rFont val="Arial"/>
        <family val="0"/>
        <charset val="1"/>
      </rPr>
      <t xml:space="preserve">↓2.8</t>
    </r>
    <r>
      <rPr>
        <sz val="9"/>
        <rFont val="Noto Sans CJK SC"/>
        <family val="2"/>
      </rPr>
      <t xml:space="preserve">방향</t>
    </r>
  </si>
  <si>
    <t xml:space="preserve">국산</t>
  </si>
  <si>
    <t xml:space="preserve">금귤농축과즙(50Brix)</t>
  </si>
  <si>
    <t xml:space="preserve">비타민C, 플라보노이드</t>
  </si>
  <si>
    <r>
      <rPr>
        <sz val="9"/>
        <rFont val="Arial"/>
        <family val="0"/>
        <charset val="1"/>
      </rPr>
      <t xml:space="preserve">↓3.2</t>
    </r>
    <r>
      <rPr>
        <sz val="9"/>
        <rFont val="Noto Sans CJK SC"/>
        <family val="2"/>
      </rPr>
      <t xml:space="preserve">방향</t>
    </r>
  </si>
  <si>
    <t xml:space="preserve">탄제린농축과즙(60Brix)</t>
  </si>
  <si>
    <t xml:space="preserve">비타민C, 카로티노이드</t>
  </si>
  <si>
    <r>
      <rPr>
        <sz val="9"/>
        <rFont val="Arial"/>
        <family val="0"/>
        <charset val="1"/>
      </rPr>
      <t xml:space="preserve">↓3.6</t>
    </r>
    <r>
      <rPr>
        <sz val="9"/>
        <rFont val="Noto Sans CJK SC"/>
        <family val="2"/>
      </rPr>
      <t xml:space="preserve">방향</t>
    </r>
  </si>
  <si>
    <t xml:space="preserve">열대과일</t>
  </si>
  <si>
    <t xml:space="preserve">망고농축과즙(65Brix)</t>
  </si>
  <si>
    <t xml:space="preserve">비타민A, 베타카로틴, 당류</t>
  </si>
  <si>
    <r>
      <rPr>
        <sz val="9"/>
        <rFont val="Arial"/>
        <family val="0"/>
        <charset val="1"/>
      </rPr>
      <t xml:space="preserve">↓4.0</t>
    </r>
    <r>
      <rPr>
        <sz val="9"/>
        <rFont val="Noto Sans CJK SC"/>
        <family val="2"/>
      </rPr>
      <t xml:space="preserve">방향</t>
    </r>
  </si>
  <si>
    <t xml:space="preserve">파인애플농축과즙(62Brix)</t>
  </si>
  <si>
    <t xml:space="preserve">브로멜린, 비타민C, 구연산</t>
  </si>
  <si>
    <t xml:space="preserve">패션프루트농축과즙(50Brix)</t>
  </si>
  <si>
    <t xml:space="preserve">구연산, 비타민C, 카로티노이드</t>
  </si>
  <si>
    <t xml:space="preserve">고산미</t>
  </si>
  <si>
    <t xml:space="preserve">구아바농축과즙(40Brix)</t>
  </si>
  <si>
    <t xml:space="preserve">비타민C, 라이코펜</t>
  </si>
  <si>
    <t xml:space="preserve">리치농축과즙(60Brix)</t>
  </si>
  <si>
    <t xml:space="preserve">비타민C, 폴리페놀</t>
  </si>
  <si>
    <r>
      <rPr>
        <sz val="9"/>
        <rFont val="Arial"/>
        <family val="0"/>
        <charset val="1"/>
      </rPr>
      <t xml:space="preserve">↓4.5</t>
    </r>
    <r>
      <rPr>
        <sz val="9"/>
        <rFont val="Noto Sans CJK SC"/>
        <family val="2"/>
      </rPr>
      <t xml:space="preserve">방향</t>
    </r>
  </si>
  <si>
    <t xml:space="preserve">코코넛워터농축액(25Brix)</t>
  </si>
  <si>
    <t xml:space="preserve">칼륨, 마그네슘, 전해질</t>
  </si>
  <si>
    <r>
      <rPr>
        <sz val="9"/>
        <rFont val="Arial"/>
        <family val="0"/>
        <charset val="1"/>
      </rPr>
      <t xml:space="preserve">↓5.0</t>
    </r>
    <r>
      <rPr>
        <sz val="9"/>
        <rFont val="Noto Sans CJK SC"/>
        <family val="2"/>
      </rPr>
      <t xml:space="preserve">방향</t>
    </r>
  </si>
  <si>
    <r>
      <rPr>
        <sz val="9"/>
        <rFont val="Arial"/>
        <family val="0"/>
        <charset val="1"/>
      </rPr>
      <t xml:space="preserve">2.5</t>
    </r>
    <r>
      <rPr>
        <sz val="9"/>
        <rFont val="Noto Sans CJK SC"/>
        <family val="2"/>
      </rPr>
      <t xml:space="preserve">배농축</t>
    </r>
  </si>
  <si>
    <t xml:space="preserve">바나나퓨레(22Brix)</t>
  </si>
  <si>
    <t xml:space="preserve">칼륨, 비타민B6, 식이섬유</t>
  </si>
  <si>
    <t xml:space="preserve">퓨레(드럼)</t>
  </si>
  <si>
    <t xml:space="preserve">냉동 -18℃</t>
  </si>
  <si>
    <t xml:space="preserve">퓨레형</t>
  </si>
  <si>
    <t xml:space="preserve">인과류</t>
  </si>
  <si>
    <t xml:space="preserve">사과농축과즙(70Brix)</t>
  </si>
  <si>
    <t xml:space="preserve">사과산, 비타민C, 폴리페놀</t>
  </si>
  <si>
    <t xml:space="preserve">배농축과즙(65Brix)</t>
  </si>
  <si>
    <t xml:space="preserve">솔비톨, 사과산, 식이섬유</t>
  </si>
  <si>
    <r>
      <rPr>
        <sz val="9"/>
        <rFont val="Arial"/>
        <family val="0"/>
        <charset val="1"/>
      </rPr>
      <t xml:space="preserve">↓4.2</t>
    </r>
    <r>
      <rPr>
        <sz val="9"/>
        <rFont val="Noto Sans CJK SC"/>
        <family val="2"/>
      </rPr>
      <t xml:space="preserve">방향</t>
    </r>
  </si>
  <si>
    <t xml:space="preserve">핵과류</t>
  </si>
  <si>
    <t xml:space="preserve">복숭아농축과즙(65Brix)</t>
  </si>
  <si>
    <t xml:space="preserve">비타민C, 식이섬유, 사과산</t>
  </si>
  <si>
    <r>
      <rPr>
        <sz val="9"/>
        <rFont val="Arial"/>
        <family val="0"/>
        <charset val="1"/>
      </rPr>
      <t xml:space="preserve">↓3.8</t>
    </r>
    <r>
      <rPr>
        <sz val="9"/>
        <rFont val="Noto Sans CJK SC"/>
        <family val="2"/>
      </rPr>
      <t xml:space="preserve">방향</t>
    </r>
  </si>
  <si>
    <t xml:space="preserve">체리농축과즙(65Brix)</t>
  </si>
  <si>
    <t xml:space="preserve">안토시아닌, 폴리페놀</t>
  </si>
  <si>
    <r>
      <rPr>
        <sz val="9"/>
        <rFont val="Arial"/>
        <family val="0"/>
        <charset val="1"/>
      </rPr>
      <t xml:space="preserve">↓3.4</t>
    </r>
    <r>
      <rPr>
        <sz val="9"/>
        <rFont val="Noto Sans CJK SC"/>
        <family val="2"/>
      </rPr>
      <t xml:space="preserve">방향</t>
    </r>
  </si>
  <si>
    <t xml:space="preserve">매실농축과즙(60Brix)</t>
  </si>
  <si>
    <t xml:space="preserve">구연산, 사과산, 피크르산</t>
  </si>
  <si>
    <r>
      <rPr>
        <sz val="9"/>
        <rFont val="Arial"/>
        <family val="0"/>
        <charset val="1"/>
      </rPr>
      <t xml:space="preserve">↓2.5</t>
    </r>
    <r>
      <rPr>
        <sz val="9"/>
        <rFont val="Noto Sans CJK SC"/>
        <family val="2"/>
      </rPr>
      <t xml:space="preserve">방향</t>
    </r>
  </si>
  <si>
    <t xml:space="preserve">살구농축과즙(60Brix)</t>
  </si>
  <si>
    <t xml:space="preserve">베타카로틴, 비타민A, 사과산</t>
  </si>
  <si>
    <t xml:space="preserve">장과류</t>
  </si>
  <si>
    <t xml:space="preserve">포도농축과즙(68Brix)</t>
  </si>
  <si>
    <t xml:space="preserve">폴리페놀, 레스베라트롤, 안토시아닌</t>
  </si>
  <si>
    <r>
      <rPr>
        <sz val="9"/>
        <rFont val="Arial"/>
        <family val="0"/>
        <charset val="1"/>
      </rPr>
      <t xml:space="preserve">↓3.3</t>
    </r>
    <r>
      <rPr>
        <sz val="9"/>
        <rFont val="Noto Sans CJK SC"/>
        <family val="2"/>
      </rPr>
      <t xml:space="preserve">방향</t>
    </r>
  </si>
  <si>
    <t xml:space="preserve">블루베리농축과즙(65Brix)</t>
  </si>
  <si>
    <t xml:space="preserve">안토시아닌, 폴리페놀, 비타민C</t>
  </si>
  <si>
    <t xml:space="preserve">크랜베리농축과즙(50Brix)</t>
  </si>
  <si>
    <t xml:space="preserve">프로안토시아니딘, 퀴닌산</t>
  </si>
  <si>
    <t xml:space="preserve">라즈베리농축과즙(55Brix)</t>
  </si>
  <si>
    <t xml:space="preserve">안토시아닌, 엘라그산</t>
  </si>
  <si>
    <t xml:space="preserve">딸기농축과즙(55Brix)</t>
  </si>
  <si>
    <t xml:space="preserve">비타민C, 안토시아닌, 엘라그산</t>
  </si>
  <si>
    <t xml:space="preserve">석류농축과즙(65Brix)</t>
  </si>
  <si>
    <t xml:space="preserve">엘라그산, 푸니칼라긴, 안토시아닌</t>
  </si>
  <si>
    <t xml:space="preserve">아사이베리농축과즙(14Brix)</t>
  </si>
  <si>
    <t xml:space="preserve">안토시아닌, 오메가지방산</t>
  </si>
  <si>
    <t xml:space="preserve">냉동퓨레</t>
  </si>
  <si>
    <t xml:space="preserve">채소류</t>
  </si>
  <si>
    <t xml:space="preserve">토마토농축과즙(28Brix)</t>
  </si>
  <si>
    <t xml:space="preserve">라이코펜, 비타민C, 칼륨</t>
  </si>
  <si>
    <t xml:space="preserve">페이스트(드럼)</t>
  </si>
  <si>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배농축</t>
    </r>
  </si>
  <si>
    <t xml:space="preserve">당근농축과즙(40Brix)</t>
  </si>
  <si>
    <t xml:space="preserve">베타카로틴, 비타민A</t>
  </si>
  <si>
    <r>
      <rPr>
        <sz val="9"/>
        <rFont val="Arial"/>
        <family val="0"/>
        <charset val="1"/>
      </rPr>
      <t xml:space="preserve">↓6.0</t>
    </r>
    <r>
      <rPr>
        <sz val="9"/>
        <rFont val="Noto Sans CJK SC"/>
        <family val="2"/>
      </rPr>
      <t xml:space="preserve">방향</t>
    </r>
  </si>
  <si>
    <t xml:space="preserve">비트농축과즙(45Brix)</t>
  </si>
  <si>
    <t xml:space="preserve">베타인, 질산염, 철분</t>
  </si>
  <si>
    <r>
      <rPr>
        <sz val="9"/>
        <rFont val="Arial"/>
        <family val="0"/>
        <charset val="1"/>
      </rPr>
      <t xml:space="preserve">↓5.5</t>
    </r>
    <r>
      <rPr>
        <sz val="9"/>
        <rFont val="Noto Sans CJK SC"/>
        <family val="2"/>
      </rPr>
      <t xml:space="preserve">방향</t>
    </r>
  </si>
  <si>
    <t xml:space="preserve">천연색소겸용</t>
  </si>
  <si>
    <t xml:space="preserve">셀러리농축과즙(8Brix)</t>
  </si>
  <si>
    <t xml:space="preserve">아피게닌, 칼륨, 식이섬유</t>
  </si>
  <si>
    <r>
      <rPr>
        <sz val="9"/>
        <rFont val="Arial"/>
        <family val="0"/>
        <charset val="1"/>
      </rPr>
      <t xml:space="preserve">↓5.8</t>
    </r>
    <r>
      <rPr>
        <sz val="9"/>
        <rFont val="Noto Sans CJK SC"/>
        <family val="2"/>
      </rPr>
      <t xml:space="preserve">방향</t>
    </r>
  </si>
  <si>
    <t xml:space="preserve">케일농축과즙(10Brix)</t>
  </si>
  <si>
    <t xml:space="preserve">비타민K, 루테인, 칼슘</t>
  </si>
  <si>
    <t xml:space="preserve">녹즙용</t>
  </si>
  <si>
    <t xml:space="preserve">당류</t>
  </si>
  <si>
    <t xml:space="preserve">일반당류</t>
  </si>
  <si>
    <t xml:space="preserve">백설탕(정제당)</t>
  </si>
  <si>
    <t xml:space="preserve">수크로스 99.9%</t>
  </si>
  <si>
    <t xml:space="preserve">분말(25kg포대)</t>
  </si>
  <si>
    <t xml:space="preserve">영향없음</t>
  </si>
  <si>
    <t xml:space="preserve">정제당</t>
  </si>
  <si>
    <t xml:space="preserve">황설탕</t>
  </si>
  <si>
    <t xml:space="preserve">수크로스+미량 미네랄</t>
  </si>
  <si>
    <t xml:space="preserve">미정제</t>
  </si>
  <si>
    <t xml:space="preserve">액상과당(HFCS55)</t>
  </si>
  <si>
    <t xml:space="preserve">과당55%, 포도당42%</t>
  </si>
  <si>
    <t xml:space="preserve">미미(4.0)</t>
  </si>
  <si>
    <t xml:space="preserve">고과당</t>
  </si>
  <si>
    <t xml:space="preserve">액상과당(HFCS42)</t>
  </si>
  <si>
    <t xml:space="preserve">과당42%, 포도당53%</t>
  </si>
  <si>
    <t xml:space="preserve">저과당</t>
  </si>
  <si>
    <t xml:space="preserve">물엿(DE42)</t>
  </si>
  <si>
    <t xml:space="preserve">맥아당, 덱스트린, 포도당</t>
  </si>
  <si>
    <t xml:space="preserve">미미(5.0)</t>
  </si>
  <si>
    <t xml:space="preserve">전분당</t>
  </si>
  <si>
    <t xml:space="preserve">포도당(결정)</t>
  </si>
  <si>
    <r>
      <rPr>
        <sz val="9"/>
        <rFont val="Arial"/>
        <family val="0"/>
        <charset val="1"/>
      </rPr>
      <t xml:space="preserve">D-</t>
    </r>
    <r>
      <rPr>
        <sz val="9"/>
        <rFont val="Noto Sans CJK SC"/>
        <family val="2"/>
      </rPr>
      <t xml:space="preserve">포도당 </t>
    </r>
    <r>
      <rPr>
        <sz val="9"/>
        <rFont val="Arial"/>
        <family val="0"/>
        <charset val="1"/>
      </rPr>
      <t xml:space="preserve">99.5%</t>
    </r>
  </si>
  <si>
    <t xml:space="preserve">과당(결정)</t>
  </si>
  <si>
    <r>
      <rPr>
        <sz val="9"/>
        <rFont val="Arial"/>
        <family val="0"/>
        <charset val="1"/>
      </rPr>
      <t xml:space="preserve">D-</t>
    </r>
    <r>
      <rPr>
        <sz val="9"/>
        <rFont val="Noto Sans CJK SC"/>
        <family val="2"/>
      </rPr>
      <t xml:space="preserve">과당 </t>
    </r>
    <r>
      <rPr>
        <sz val="9"/>
        <rFont val="Arial"/>
        <family val="0"/>
        <charset val="1"/>
      </rPr>
      <t xml:space="preserve">99.5%</t>
    </r>
  </si>
  <si>
    <t xml:space="preserve">설탕보다 1.7배 단맛</t>
  </si>
  <si>
    <t xml:space="preserve">벌꿀</t>
  </si>
  <si>
    <t xml:space="preserve">과당38%, 포도당31%, 미량효소</t>
  </si>
  <si>
    <t xml:space="preserve">액상(병/드럼)</t>
  </si>
  <si>
    <r>
      <rPr>
        <sz val="9"/>
        <rFont val="Arial"/>
        <family val="0"/>
        <charset val="1"/>
      </rPr>
      <t xml:space="preserve">↓3.9</t>
    </r>
    <r>
      <rPr>
        <sz val="9"/>
        <rFont val="Noto Sans CJK SC"/>
        <family val="2"/>
      </rPr>
      <t xml:space="preserve">방향</t>
    </r>
  </si>
  <si>
    <t xml:space="preserve">천연감미료</t>
  </si>
  <si>
    <t xml:space="preserve">메이플시럽</t>
  </si>
  <si>
    <t xml:space="preserve">수크로스 60%, 미네랄</t>
  </si>
  <si>
    <t xml:space="preserve">액상(병)</t>
  </si>
  <si>
    <t xml:space="preserve">천연</t>
  </si>
  <si>
    <t xml:space="preserve">아가베시럽</t>
  </si>
  <si>
    <t xml:space="preserve">과당 80%, 포도당 12%</t>
  </si>
  <si>
    <t xml:space="preserve">미미(4.5)</t>
  </si>
  <si>
    <t xml:space="preserve">천연, 저GI</t>
  </si>
  <si>
    <t xml:space="preserve">기능성당류</t>
  </si>
  <si>
    <t xml:space="preserve">프락토올리고당(FOS)</t>
  </si>
  <si>
    <t xml:space="preserve">프락토올리고당 55%이상, 프리바이오틱스</t>
  </si>
  <si>
    <t xml:space="preserve">미미(5.5)</t>
  </si>
  <si>
    <t xml:space="preserve">장건강, 단맛 30%</t>
  </si>
  <si>
    <t xml:space="preserve">이소말토올리고당(IMO)</t>
  </si>
  <si>
    <t xml:space="preserve">이소말토올리고당 50%이상, 프리바이오틱스</t>
  </si>
  <si>
    <t xml:space="preserve">장건강, 내열성우수</t>
  </si>
  <si>
    <t xml:space="preserve">갈락토올리고당(GOS)</t>
  </si>
  <si>
    <t xml:space="preserve">갈락토올리고당 55%이상</t>
  </si>
  <si>
    <t xml:space="preserve">영유아장건강</t>
  </si>
  <si>
    <t xml:space="preserve">자일로올리고당(XOS)</t>
  </si>
  <si>
    <t xml:space="preserve">자일로올리고당 35%이상</t>
  </si>
  <si>
    <t xml:space="preserve">액상/분말</t>
  </si>
  <si>
    <t xml:space="preserve">소량으로 프리바이오틱스</t>
  </si>
  <si>
    <t xml:space="preserve">팔라티노스(이소말툴로스)</t>
  </si>
  <si>
    <t xml:space="preserve">이소말툴로스 99%</t>
  </si>
  <si>
    <t xml:space="preserve">저GI(32), 충치억제</t>
  </si>
  <si>
    <t xml:space="preserve">타가토스</t>
  </si>
  <si>
    <r>
      <rPr>
        <sz val="9"/>
        <rFont val="Arial"/>
        <family val="0"/>
        <charset val="1"/>
      </rPr>
      <t xml:space="preserve">D-</t>
    </r>
    <r>
      <rPr>
        <sz val="9"/>
        <rFont val="Noto Sans CJK SC"/>
        <family val="2"/>
      </rPr>
      <t xml:space="preserve">타가토스 </t>
    </r>
    <r>
      <rPr>
        <sz val="9"/>
        <rFont val="Arial"/>
        <family val="0"/>
        <charset val="1"/>
      </rPr>
      <t xml:space="preserve">98%</t>
    </r>
  </si>
  <si>
    <t xml:space="preserve">저칼로리(1.5kcal/g)</t>
  </si>
  <si>
    <t xml:space="preserve">알룰로스</t>
  </si>
  <si>
    <r>
      <rPr>
        <sz val="9"/>
        <rFont val="Arial"/>
        <family val="0"/>
        <charset val="1"/>
      </rPr>
      <t xml:space="preserve">D-</t>
    </r>
    <r>
      <rPr>
        <sz val="9"/>
        <rFont val="Noto Sans CJK SC"/>
        <family val="2"/>
      </rPr>
      <t xml:space="preserve">알룰로스 </t>
    </r>
    <r>
      <rPr>
        <sz val="9"/>
        <rFont val="Arial"/>
        <family val="0"/>
        <charset val="1"/>
      </rPr>
      <t xml:space="preserve">98%</t>
    </r>
  </si>
  <si>
    <r>
      <rPr>
        <sz val="9"/>
        <rFont val="Arial"/>
        <family val="0"/>
        <charset val="1"/>
      </rPr>
      <t xml:space="preserve">0kcal, </t>
    </r>
    <r>
      <rPr>
        <sz val="9"/>
        <rFont val="Noto Sans CJK SC"/>
        <family val="2"/>
      </rPr>
      <t xml:space="preserve">설탕</t>
    </r>
    <r>
      <rPr>
        <sz val="9"/>
        <rFont val="Arial"/>
        <family val="0"/>
        <charset val="1"/>
      </rPr>
      <t xml:space="preserve">70%</t>
    </r>
    <r>
      <rPr>
        <sz val="9"/>
        <rFont val="Noto Sans CJK SC"/>
        <family val="2"/>
      </rPr>
      <t xml:space="preserve">단맛</t>
    </r>
  </si>
  <si>
    <t xml:space="preserve">트레할로스</t>
  </si>
  <si>
    <t xml:space="preserve">트레할로스 98%</t>
  </si>
  <si>
    <t xml:space="preserve">단맛45%, 보습, 전분노화억제</t>
  </si>
  <si>
    <t xml:space="preserve">당알코올</t>
  </si>
  <si>
    <t xml:space="preserve">자일리톨</t>
  </si>
  <si>
    <t xml:space="preserve">자일리톨 99%</t>
  </si>
  <si>
    <t xml:space="preserve">단맛100%, 충치억제, 청량감</t>
  </si>
  <si>
    <t xml:space="preserve">소르비톨</t>
  </si>
  <si>
    <r>
      <rPr>
        <sz val="9"/>
        <rFont val="Arial"/>
        <family val="0"/>
        <charset val="1"/>
      </rPr>
      <t xml:space="preserve">D-</t>
    </r>
    <r>
      <rPr>
        <sz val="9"/>
        <rFont val="Noto Sans CJK SC"/>
        <family val="2"/>
      </rPr>
      <t xml:space="preserve">소르비톨 </t>
    </r>
    <r>
      <rPr>
        <sz val="9"/>
        <rFont val="Arial"/>
        <family val="0"/>
        <charset val="1"/>
      </rPr>
      <t xml:space="preserve">70%</t>
    </r>
  </si>
  <si>
    <t xml:space="preserve">단맛60%, 보습제</t>
  </si>
  <si>
    <t xml:space="preserve">말티톨</t>
  </si>
  <si>
    <t xml:space="preserve">말티톨 99%</t>
  </si>
  <si>
    <t xml:space="preserve">분말/액상</t>
  </si>
  <si>
    <t xml:space="preserve">단맛90%, 저칼로리</t>
  </si>
  <si>
    <t xml:space="preserve">에리스리톨</t>
  </si>
  <si>
    <t xml:space="preserve">에리스리톨 99%</t>
  </si>
  <si>
    <t xml:space="preserve">단맛70%, 0kcal, 청량감</t>
  </si>
  <si>
    <t xml:space="preserve">만니톨</t>
  </si>
  <si>
    <r>
      <rPr>
        <sz val="9"/>
        <rFont val="Arial"/>
        <family val="0"/>
        <charset val="1"/>
      </rPr>
      <t xml:space="preserve">D-</t>
    </r>
    <r>
      <rPr>
        <sz val="9"/>
        <rFont val="Noto Sans CJK SC"/>
        <family val="2"/>
      </rPr>
      <t xml:space="preserve">만니톨 </t>
    </r>
    <r>
      <rPr>
        <sz val="9"/>
        <rFont val="Arial"/>
        <family val="0"/>
        <charset val="1"/>
      </rPr>
      <t xml:space="preserve">99%</t>
    </r>
  </si>
  <si>
    <t xml:space="preserve">단맛50%, 청량감</t>
  </si>
  <si>
    <t xml:space="preserve">이소말트</t>
  </si>
  <si>
    <t xml:space="preserve">이소말트 98%</t>
  </si>
  <si>
    <t xml:space="preserve">단맛45~60%, 저GI</t>
  </si>
  <si>
    <t xml:space="preserve">락티톨</t>
  </si>
  <si>
    <t xml:space="preserve">락티톨 95%</t>
  </si>
  <si>
    <t xml:space="preserve">단맛40%, 프리바이오틱스</t>
  </si>
  <si>
    <t xml:space="preserve">감미료</t>
  </si>
  <si>
    <t xml:space="preserve">합성감미료</t>
  </si>
  <si>
    <t xml:space="preserve">아스파탐</t>
  </si>
  <si>
    <r>
      <rPr>
        <sz val="9"/>
        <rFont val="Arial"/>
        <family val="0"/>
        <charset val="1"/>
      </rPr>
      <t xml:space="preserve">L-</t>
    </r>
    <r>
      <rPr>
        <sz val="9"/>
        <rFont val="Noto Sans CJK SC"/>
        <family val="2"/>
      </rPr>
      <t xml:space="preserve">아스파르틸</t>
    </r>
    <r>
      <rPr>
        <sz val="9"/>
        <rFont val="Arial"/>
        <family val="0"/>
        <charset val="1"/>
      </rPr>
      <t xml:space="preserve">-L-</t>
    </r>
    <r>
      <rPr>
        <sz val="9"/>
        <rFont val="Noto Sans CJK SC"/>
        <family val="2"/>
      </rPr>
      <t xml:space="preserve">페닐알라닌메틸에스테르</t>
    </r>
  </si>
  <si>
    <t xml:space="preserve">분말(포대)</t>
  </si>
  <si>
    <t xml:space="preserve">단맛 설탕의 200배</t>
  </si>
  <si>
    <t xml:space="preserve">아세설팜칼륨(Ace-K)</t>
  </si>
  <si>
    <t xml:space="preserve">아세설팜K</t>
  </si>
  <si>
    <t xml:space="preserve">단맛 설탕의 200배, 내열성</t>
  </si>
  <si>
    <t xml:space="preserve">수크랄로스</t>
  </si>
  <si>
    <t xml:space="preserve">트리클로로갈락토수크로스</t>
  </si>
  <si>
    <t xml:space="preserve">단맛 설탕의 600배, 내열성</t>
  </si>
  <si>
    <t xml:space="preserve">사카린나트륨</t>
  </si>
  <si>
    <t xml:space="preserve">단맛 설탕의 300배</t>
  </si>
  <si>
    <t xml:space="preserve">네오탐</t>
  </si>
  <si>
    <r>
      <rPr>
        <sz val="9"/>
        <rFont val="Arial"/>
        <family val="0"/>
        <charset val="1"/>
      </rPr>
      <t xml:space="preserve">N-[N-(3,3-</t>
    </r>
    <r>
      <rPr>
        <sz val="9"/>
        <rFont val="Noto Sans CJK SC"/>
        <family val="2"/>
      </rPr>
      <t xml:space="preserve">디메틸부틸</t>
    </r>
    <r>
      <rPr>
        <sz val="9"/>
        <rFont val="Arial"/>
        <family val="0"/>
        <charset val="1"/>
      </rPr>
      <t xml:space="preserve">)-L-α-</t>
    </r>
    <r>
      <rPr>
        <sz val="9"/>
        <rFont val="Noto Sans CJK SC"/>
        <family val="2"/>
      </rPr>
      <t xml:space="preserve">아스파르틸</t>
    </r>
    <r>
      <rPr>
        <sz val="9"/>
        <rFont val="Arial"/>
        <family val="0"/>
        <charset val="1"/>
      </rPr>
      <t xml:space="preserve">]-L-</t>
    </r>
    <r>
      <rPr>
        <sz val="9"/>
        <rFont val="Noto Sans CJK SC"/>
        <family val="2"/>
      </rPr>
      <t xml:space="preserve">페닐알라닌 </t>
    </r>
    <r>
      <rPr>
        <sz val="9"/>
        <rFont val="Arial"/>
        <family val="0"/>
        <charset val="1"/>
      </rPr>
      <t xml:space="preserve">1-</t>
    </r>
    <r>
      <rPr>
        <sz val="9"/>
        <rFont val="Noto Sans CJK SC"/>
        <family val="2"/>
      </rPr>
      <t xml:space="preserve">메틸에스테르</t>
    </r>
  </si>
  <si>
    <t xml:space="preserve">단맛 설탕의 8000배</t>
  </si>
  <si>
    <t xml:space="preserve">어드밴탐</t>
  </si>
  <si>
    <r>
      <rPr>
        <sz val="9"/>
        <rFont val="Arial"/>
        <family val="0"/>
        <charset val="1"/>
      </rPr>
      <t xml:space="preserve">N-[3-(3-</t>
    </r>
    <r>
      <rPr>
        <sz val="9"/>
        <rFont val="Noto Sans CJK SC"/>
        <family val="2"/>
      </rPr>
      <t xml:space="preserve">하이드록시</t>
    </r>
    <r>
      <rPr>
        <sz val="9"/>
        <rFont val="Arial"/>
        <family val="0"/>
        <charset val="1"/>
      </rPr>
      <t xml:space="preserve">-4-</t>
    </r>
    <r>
      <rPr>
        <sz val="9"/>
        <rFont val="Noto Sans CJK SC"/>
        <family val="2"/>
      </rPr>
      <t xml:space="preserve">메톡시페닐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프로필</t>
    </r>
    <r>
      <rPr>
        <sz val="9"/>
        <rFont val="Arial"/>
        <family val="0"/>
        <charset val="1"/>
      </rPr>
      <t xml:space="preserve">]-L-α-</t>
    </r>
    <r>
      <rPr>
        <sz val="9"/>
        <rFont val="Noto Sans CJK SC"/>
        <family val="2"/>
      </rPr>
      <t xml:space="preserve">아스파르틸</t>
    </r>
    <r>
      <rPr>
        <sz val="9"/>
        <rFont val="Arial"/>
        <family val="0"/>
        <charset val="1"/>
      </rPr>
      <t xml:space="preserve">-L-</t>
    </r>
    <r>
      <rPr>
        <sz val="9"/>
        <rFont val="Noto Sans CJK SC"/>
        <family val="2"/>
      </rPr>
      <t xml:space="preserve">페닐알라닌 </t>
    </r>
    <r>
      <rPr>
        <sz val="9"/>
        <rFont val="Arial"/>
        <family val="0"/>
        <charset val="1"/>
      </rPr>
      <t xml:space="preserve">1-</t>
    </r>
    <r>
      <rPr>
        <sz val="9"/>
        <rFont val="Noto Sans CJK SC"/>
        <family val="2"/>
      </rPr>
      <t xml:space="preserve">메틸에스테르</t>
    </r>
  </si>
  <si>
    <t xml:space="preserve">단맛 설탕의 20000배</t>
  </si>
  <si>
    <t xml:space="preserve">시클라메이트</t>
  </si>
  <si>
    <t xml:space="preserve">시클로헥실술팜산나트륨</t>
  </si>
  <si>
    <t xml:space="preserve">단맛 설탕의 30배, 한국미허가</t>
  </si>
  <si>
    <t xml:space="preserve">둘신</t>
  </si>
  <si>
    <r>
      <rPr>
        <sz val="9"/>
        <rFont val="Arial"/>
        <family val="0"/>
        <charset val="1"/>
      </rPr>
      <t xml:space="preserve">4-</t>
    </r>
    <r>
      <rPr>
        <sz val="9"/>
        <rFont val="Noto Sans CJK SC"/>
        <family val="2"/>
      </rPr>
      <t xml:space="preserve">에톡시페닐우레아</t>
    </r>
  </si>
  <si>
    <t xml:space="preserve">단맛 설탕의 250배, 대부분 국가 금지</t>
  </si>
  <si>
    <t xml:space="preserve">천연고강도감미료</t>
  </si>
  <si>
    <t xml:space="preserve">스테비아(스테비올배당체)</t>
  </si>
  <si>
    <t xml:space="preserve">스테비오사이드, 레바우디오사이드A</t>
  </si>
  <si>
    <t xml:space="preserve">단맛 설탕의 200~300배, 천연</t>
  </si>
  <si>
    <t xml:space="preserve">스테비아 Reb-A 97%</t>
  </si>
  <si>
    <t xml:space="preserve">레바우디오사이드A 97%이상</t>
  </si>
  <si>
    <t xml:space="preserve">고순도, 쓴맛 감소</t>
  </si>
  <si>
    <t xml:space="preserve">스테비아 Reb-M</t>
  </si>
  <si>
    <t xml:space="preserve">레바우디오사이드M</t>
  </si>
  <si>
    <t xml:space="preserve">설탕에 가장 가까운 맛</t>
  </si>
  <si>
    <t xml:space="preserve">나한과(모그로사이드V)</t>
  </si>
  <si>
    <t xml:space="preserve">모그로사이드V 50%이상</t>
  </si>
  <si>
    <t xml:space="preserve">단맛 설탕의 250배, 천연</t>
  </si>
  <si>
    <t xml:space="preserve">타우마틴</t>
  </si>
  <si>
    <t xml:space="preserve">타우마토코쿠스 다니엘리 단백질</t>
  </si>
  <si>
    <t xml:space="preserve">단맛 설탕의 2000배, 지속성</t>
  </si>
  <si>
    <t xml:space="preserve">브라제인</t>
  </si>
  <si>
    <t xml:space="preserve">펜타디플란드라 브라제아나 단백질</t>
  </si>
  <si>
    <t xml:space="preserve">단맛 설탕의 500~2000배</t>
  </si>
  <si>
    <t xml:space="preserve">미라쿨린</t>
  </si>
  <si>
    <t xml:space="preserve">리쿨리아 둘시피카 단백질</t>
  </si>
  <si>
    <t xml:space="preserve">맛변환단백질, 신맛→단맛</t>
  </si>
  <si>
    <t xml:space="preserve">블렌드감미료</t>
  </si>
  <si>
    <t xml:space="preserve">아스파탐+Ace-K 블렌드</t>
  </si>
  <si>
    <t xml:space="preserve">아스파탐:Ace-K=1:1</t>
  </si>
  <si>
    <t xml:space="preserve">시너지효과, 쓴맛감소</t>
  </si>
  <si>
    <t xml:space="preserve">산미료</t>
  </si>
  <si>
    <t xml:space="preserve">유기산</t>
  </si>
  <si>
    <t xml:space="preserve">구연산(무수)</t>
  </si>
  <si>
    <t xml:space="preserve">시트르산(Citric acid) 99.5%</t>
  </si>
  <si>
    <t xml:space="preserve">↓↓ 강하게 저하</t>
  </si>
  <si>
    <t xml:space="preserve">가장 범용, 레몬/감귤 산미</t>
  </si>
  <si>
    <t xml:space="preserve">구연산(수화물)</t>
  </si>
  <si>
    <t xml:space="preserve">시트르산모노하이드레이트</t>
  </si>
  <si>
    <t xml:space="preserve">무수 대비 91.4% 효력</t>
  </si>
  <si>
    <r>
      <rPr>
        <sz val="9"/>
        <rFont val="Arial"/>
        <family val="0"/>
        <charset val="1"/>
      </rPr>
      <t xml:space="preserve">DL-</t>
    </r>
    <r>
      <rPr>
        <sz val="9"/>
        <rFont val="Noto Sans CJK SC"/>
        <family val="2"/>
      </rPr>
      <t xml:space="preserve">사과산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말산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</si>
  <si>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DL-</t>
    </r>
    <r>
      <rPr>
        <sz val="9"/>
        <rFont val="Noto Sans CJK SC"/>
        <family val="2"/>
      </rPr>
      <t xml:space="preserve">말산</t>
    </r>
    <r>
      <rPr>
        <sz val="9"/>
        <rFont val="Arial"/>
        <family val="0"/>
        <charset val="1"/>
      </rPr>
      <t xml:space="preserve">(Malic acid) 99%</t>
    </r>
  </si>
  <si>
    <t xml:space="preserve">사과 산미, 지속성↑</t>
  </si>
  <si>
    <r>
      <rPr>
        <sz val="9"/>
        <rFont val="Arial"/>
        <family val="0"/>
        <charset val="1"/>
      </rPr>
      <t xml:space="preserve">L-</t>
    </r>
    <r>
      <rPr>
        <sz val="9"/>
        <rFont val="Noto Sans CJK SC"/>
        <family val="2"/>
      </rPr>
      <t xml:space="preserve">사과산</t>
    </r>
  </si>
  <si>
    <r>
      <rPr>
        <sz val="9"/>
        <rFont val="Arial"/>
        <family val="0"/>
        <charset val="1"/>
      </rPr>
      <t xml:space="preserve">L-</t>
    </r>
    <r>
      <rPr>
        <sz val="9"/>
        <rFont val="Noto Sans CJK SC"/>
        <family val="2"/>
      </rPr>
      <t xml:space="preserve">말산 </t>
    </r>
    <r>
      <rPr>
        <sz val="9"/>
        <rFont val="Arial"/>
        <family val="0"/>
        <charset val="1"/>
      </rPr>
      <t xml:space="preserve">99%</t>
    </r>
  </si>
  <si>
    <t xml:space="preserve">천연형</t>
  </si>
  <si>
    <t xml:space="preserve">주석산(타르타르산)</t>
  </si>
  <si>
    <r>
      <rPr>
        <sz val="9"/>
        <rFont val="Arial"/>
        <family val="0"/>
        <charset val="1"/>
      </rPr>
      <t xml:space="preserve">L-</t>
    </r>
    <r>
      <rPr>
        <sz val="9"/>
        <rFont val="Noto Sans CJK SC"/>
        <family val="2"/>
      </rPr>
      <t xml:space="preserve">주석산</t>
    </r>
    <r>
      <rPr>
        <sz val="9"/>
        <rFont val="Arial"/>
        <family val="0"/>
        <charset val="1"/>
      </rPr>
      <t xml:space="preserve">(Tartaric acid) 99%</t>
    </r>
  </si>
  <si>
    <t xml:space="preserve">포도산미, 와인맛</t>
  </si>
  <si>
    <t xml:space="preserve">젖산(유산/Lactic acid)</t>
  </si>
  <si>
    <r>
      <rPr>
        <sz val="9"/>
        <rFont val="Arial"/>
        <family val="0"/>
        <charset val="1"/>
      </rPr>
      <t xml:space="preserve">L-</t>
    </r>
    <r>
      <rPr>
        <sz val="9"/>
        <rFont val="Noto Sans CJK SC"/>
        <family val="2"/>
      </rPr>
      <t xml:space="preserve">젖산 </t>
    </r>
    <r>
      <rPr>
        <sz val="9"/>
        <rFont val="Arial"/>
        <family val="0"/>
        <charset val="1"/>
      </rPr>
      <t xml:space="preserve">80~88%</t>
    </r>
  </si>
  <si>
    <t xml:space="preserve">↓ 저하</t>
  </si>
  <si>
    <t xml:space="preserve">발효산, 부드러운 산미</t>
  </si>
  <si>
    <t xml:space="preserve">호박산(석신산)</t>
  </si>
  <si>
    <t xml:space="preserve">호박산(Succinic acid) 99%</t>
  </si>
  <si>
    <t xml:space="preserve">↓ 중간 저하</t>
  </si>
  <si>
    <t xml:space="preserve">감칠맛+산미, 조개맛</t>
  </si>
  <si>
    <t xml:space="preserve">푸마르산</t>
  </si>
  <si>
    <t xml:space="preserve">푸마르산(Fumaric acid) 99%</t>
  </si>
  <si>
    <t xml:space="preserve">구연산 대비 1.5배 산도</t>
  </si>
  <si>
    <t xml:space="preserve">아디프산</t>
  </si>
  <si>
    <t xml:space="preserve">아디프산(Adipic acid) 99%</t>
  </si>
  <si>
    <t xml:space="preserve">부드러운 산미, 젤리용</t>
  </si>
  <si>
    <t xml:space="preserve">글루콘산</t>
  </si>
  <si>
    <r>
      <rPr>
        <sz val="9"/>
        <rFont val="Arial"/>
        <family val="0"/>
        <charset val="1"/>
      </rPr>
      <t xml:space="preserve">D-</t>
    </r>
    <r>
      <rPr>
        <sz val="9"/>
        <rFont val="Noto Sans CJK SC"/>
        <family val="2"/>
      </rPr>
      <t xml:space="preserve">글루콘산 </t>
    </r>
    <r>
      <rPr>
        <sz val="9"/>
        <rFont val="Arial"/>
        <family val="0"/>
        <charset val="1"/>
      </rPr>
      <t xml:space="preserve">50%</t>
    </r>
  </si>
  <si>
    <t xml:space="preserve">액상</t>
  </si>
  <si>
    <t xml:space="preserve">↓ 약한 저하</t>
  </si>
  <si>
    <t xml:space="preserve">마일드 산미</t>
  </si>
  <si>
    <t xml:space="preserve">초산(빙초산)</t>
  </si>
  <si>
    <t xml:space="preserve">빙초산(Acetic acid) 99%</t>
  </si>
  <si>
    <t xml:space="preserve">식초산미</t>
  </si>
  <si>
    <t xml:space="preserve">인산(식품용)</t>
  </si>
  <si>
    <t xml:space="preserve">인산(Phosphoric acid) 75%</t>
  </si>
  <si>
    <t xml:space="preserve">↓↓↓ 매우 강하게 저하</t>
  </si>
  <si>
    <t xml:space="preserve">콜라 산미, 강한 저하</t>
  </si>
  <si>
    <t xml:space="preserve">아스코르빈산(비타민C)</t>
  </si>
  <si>
    <r>
      <rPr>
        <sz val="9"/>
        <rFont val="Arial"/>
        <family val="0"/>
        <charset val="1"/>
      </rPr>
      <t xml:space="preserve">L-</t>
    </r>
    <r>
      <rPr>
        <sz val="9"/>
        <rFont val="Noto Sans CJK SC"/>
        <family val="2"/>
      </rPr>
      <t xml:space="preserve">아스코르빈산 </t>
    </r>
    <r>
      <rPr>
        <sz val="9"/>
        <rFont val="Arial"/>
        <family val="0"/>
        <charset val="1"/>
      </rPr>
      <t xml:space="preserve">99%</t>
    </r>
  </si>
  <si>
    <t xml:space="preserve">냉암소</t>
  </si>
  <si>
    <t xml:space="preserve">산미+항산화, 산화방지제겸</t>
  </si>
  <si>
    <t xml:space="preserve">에리소르빈산</t>
  </si>
  <si>
    <t xml:space="preserve">에리소르빈산 99%</t>
  </si>
  <si>
    <t xml:space="preserve">산화방지제, 산미부여</t>
  </si>
  <si>
    <t xml:space="preserve">탄산(탄산수소나트륨)</t>
  </si>
  <si>
    <t xml:space="preserve">NaHCO3 99%</t>
  </si>
  <si>
    <r>
      <rPr>
        <sz val="9"/>
        <rFont val="Arial"/>
        <family val="0"/>
        <charset val="1"/>
      </rPr>
      <t xml:space="preserve">↑ pH </t>
    </r>
    <r>
      <rPr>
        <sz val="9"/>
        <rFont val="Noto Sans CJK SC"/>
        <family val="2"/>
      </rPr>
      <t xml:space="preserve">상승</t>
    </r>
  </si>
  <si>
    <t xml:space="preserve">산도 중화용</t>
  </si>
  <si>
    <r>
      <rPr>
        <sz val="9"/>
        <rFont val="Arial"/>
        <family val="0"/>
        <charset val="1"/>
      </rPr>
      <t xml:space="preserve">pH</t>
    </r>
    <r>
      <rPr>
        <sz val="9"/>
        <rFont val="Noto Sans CJK SC"/>
        <family val="2"/>
      </rPr>
      <t xml:space="preserve">조절제</t>
    </r>
  </si>
  <si>
    <t xml:space="preserve">구연산나트륨(삼나트륨)</t>
  </si>
  <si>
    <t xml:space="preserve">구연산삼나트륨 99%</t>
  </si>
  <si>
    <r>
      <rPr>
        <sz val="9"/>
        <rFont val="Arial"/>
        <family val="0"/>
        <charset val="1"/>
      </rPr>
      <t xml:space="preserve">↑ pH </t>
    </r>
    <r>
      <rPr>
        <sz val="9"/>
        <rFont val="Noto Sans CJK SC"/>
        <family val="2"/>
      </rPr>
      <t xml:space="preserve">상승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완충</t>
    </r>
    <r>
      <rPr>
        <sz val="9"/>
        <rFont val="Arial"/>
        <family val="0"/>
        <charset val="1"/>
      </rPr>
      <t xml:space="preserve">)</t>
    </r>
  </si>
  <si>
    <t xml:space="preserve">완충제, pH안정화</t>
  </si>
  <si>
    <t xml:space="preserve">구연산삼칼륨</t>
  </si>
  <si>
    <t xml:space="preserve">구연산칼륨 99%</t>
  </si>
  <si>
    <r>
      <rPr>
        <sz val="9"/>
        <rFont val="Arial"/>
        <family val="0"/>
        <charset val="1"/>
      </rPr>
      <t xml:space="preserve">Na-free </t>
    </r>
    <r>
      <rPr>
        <sz val="9"/>
        <rFont val="Noto Sans CJK SC"/>
        <family val="2"/>
      </rPr>
      <t xml:space="preserve">완충제</t>
    </r>
  </si>
  <si>
    <t xml:space="preserve">인산나트륨</t>
  </si>
  <si>
    <t xml:space="preserve">인산이나트륨</t>
  </si>
  <si>
    <r>
      <rPr>
        <sz val="9"/>
        <rFont val="Arial"/>
        <family val="0"/>
        <charset val="1"/>
      </rPr>
      <t xml:space="preserve">pH</t>
    </r>
    <r>
      <rPr>
        <sz val="9"/>
        <rFont val="Noto Sans CJK SC"/>
        <family val="2"/>
      </rPr>
      <t xml:space="preserve">조절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유화안정</t>
    </r>
  </si>
  <si>
    <t xml:space="preserve">탄산칼슘</t>
  </si>
  <si>
    <t xml:space="preserve">CaCO3 98%</t>
  </si>
  <si>
    <r>
      <rPr>
        <sz val="9"/>
        <rFont val="Arial"/>
        <family val="0"/>
        <charset val="1"/>
      </rPr>
      <t xml:space="preserve">↑ pH </t>
    </r>
    <r>
      <rPr>
        <sz val="9"/>
        <rFont val="Noto Sans CJK SC"/>
        <family val="2"/>
      </rPr>
      <t xml:space="preserve">강하게 상승</t>
    </r>
  </si>
  <si>
    <t xml:space="preserve">산도 중화</t>
  </si>
  <si>
    <t xml:space="preserve">향료</t>
  </si>
  <si>
    <t xml:space="preserve">오렌지향(수용성)</t>
  </si>
  <si>
    <t xml:space="preserve">감귤계, 리모넨</t>
  </si>
  <si>
    <t xml:space="preserve">액상(1~25kg)</t>
  </si>
  <si>
    <t xml:space="preserve">냉암소 15℃이하</t>
  </si>
  <si>
    <t xml:space="preserve">사용량 0.05~0.3%</t>
  </si>
  <si>
    <t xml:space="preserve">레몬향(수용성)</t>
  </si>
  <si>
    <t xml:space="preserve">감귤계, 시트랄</t>
  </si>
  <si>
    <t xml:space="preserve">자몽향(수용성)</t>
  </si>
  <si>
    <t xml:space="preserve">감귤계, 누트카톤</t>
  </si>
  <si>
    <t xml:space="preserve">라임향</t>
  </si>
  <si>
    <t xml:space="preserve">감귤계</t>
  </si>
  <si>
    <t xml:space="preserve">유자향</t>
  </si>
  <si>
    <t xml:space="preserve">감귤계, 국산</t>
  </si>
  <si>
    <t xml:space="preserve">포도향(합성)</t>
  </si>
  <si>
    <t xml:space="preserve">에스테르계</t>
  </si>
  <si>
    <t xml:space="preserve">포도향(천연/합성)</t>
  </si>
  <si>
    <t xml:space="preserve">콩코드/거봉</t>
  </si>
  <si>
    <t xml:space="preserve">복숭아향(수용성)</t>
  </si>
  <si>
    <r>
      <rPr>
        <sz val="9"/>
        <rFont val="Arial"/>
        <family val="0"/>
        <charset val="1"/>
      </rPr>
      <t xml:space="preserve">γ-</t>
    </r>
    <r>
      <rPr>
        <sz val="9"/>
        <rFont val="Noto Sans CJK SC"/>
        <family val="2"/>
      </rPr>
      <t xml:space="preserve">운데칼락톤</t>
    </r>
  </si>
  <si>
    <t xml:space="preserve">망고향</t>
  </si>
  <si>
    <t xml:space="preserve">열대과일계</t>
  </si>
  <si>
    <t xml:space="preserve">패션프루트향</t>
  </si>
  <si>
    <t xml:space="preserve">파인애플향</t>
  </si>
  <si>
    <t xml:space="preserve">에틸부티레이트</t>
  </si>
  <si>
    <t xml:space="preserve">딸기향</t>
  </si>
  <si>
    <t xml:space="preserve">에틸발레레이트</t>
  </si>
  <si>
    <t xml:space="preserve">사과향</t>
  </si>
  <si>
    <t xml:space="preserve">에틸아세테이트</t>
  </si>
  <si>
    <t xml:space="preserve">바나나향</t>
  </si>
  <si>
    <t xml:space="preserve">이소아밀아세테이트</t>
  </si>
  <si>
    <t xml:space="preserve">라즈베리향</t>
  </si>
  <si>
    <t xml:space="preserve">라즈베리케톤</t>
  </si>
  <si>
    <t xml:space="preserve">블루베리향</t>
  </si>
  <si>
    <t xml:space="preserve">장과류향</t>
  </si>
  <si>
    <t xml:space="preserve">체리향</t>
  </si>
  <si>
    <t xml:space="preserve">벤즈알데히드</t>
  </si>
  <si>
    <t xml:space="preserve">코코넛향</t>
  </si>
  <si>
    <r>
      <rPr>
        <sz val="9"/>
        <rFont val="Arial"/>
        <family val="0"/>
        <charset val="1"/>
      </rPr>
      <t xml:space="preserve">γ-</t>
    </r>
    <r>
      <rPr>
        <sz val="9"/>
        <rFont val="Noto Sans CJK SC"/>
        <family val="2"/>
      </rPr>
      <t xml:space="preserve">노날락톤</t>
    </r>
  </si>
  <si>
    <t xml:space="preserve">바닐라향(바닐린)</t>
  </si>
  <si>
    <t xml:space="preserve">바닐린/에틸바닐린</t>
  </si>
  <si>
    <t xml:space="preserve">커피향</t>
  </si>
  <si>
    <t xml:space="preserve">커피퓨란온</t>
  </si>
  <si>
    <t xml:space="preserve">녹차향</t>
  </si>
  <si>
    <t xml:space="preserve">시스-3-헥세놀</t>
  </si>
  <si>
    <t xml:space="preserve">자스민향</t>
  </si>
  <si>
    <t xml:space="preserve">자스몬계</t>
  </si>
  <si>
    <t xml:space="preserve">로즈향</t>
  </si>
  <si>
    <t xml:space="preserve">시트로넬올</t>
  </si>
  <si>
    <t xml:space="preserve">민트향(스피어민트)</t>
  </si>
  <si>
    <t xml:space="preserve">카르본</t>
  </si>
  <si>
    <t xml:space="preserve">민트향(페퍼민트)</t>
  </si>
  <si>
    <t xml:space="preserve">멘톨</t>
  </si>
  <si>
    <t xml:space="preserve">색소</t>
  </si>
  <si>
    <t xml:space="preserve">카라멜색소(ClassIII)</t>
  </si>
  <si>
    <t xml:space="preserve">암모니아카라멜</t>
  </si>
  <si>
    <t xml:space="preserve">콜라/커피/간장색</t>
  </si>
  <si>
    <t xml:space="preserve">카라멜색소(ClassIV)</t>
  </si>
  <si>
    <t xml:space="preserve">아황산암모니아카라멜</t>
  </si>
  <si>
    <t xml:space="preserve">맥주/소스색</t>
  </si>
  <si>
    <t xml:space="preserve">베타카로틴(합성)</t>
  </si>
  <si>
    <r>
      <rPr>
        <sz val="9"/>
        <rFont val="Arial"/>
        <family val="0"/>
        <charset val="1"/>
      </rPr>
      <t xml:space="preserve">β-</t>
    </r>
    <r>
      <rPr>
        <sz val="9"/>
        <rFont val="Noto Sans CJK SC"/>
        <family val="2"/>
      </rPr>
      <t xml:space="preserve">카로틴</t>
    </r>
  </si>
  <si>
    <t xml:space="preserve">오렌지~황색</t>
  </si>
  <si>
    <t xml:space="preserve">베타카로틴(천연/당근)</t>
  </si>
  <si>
    <t xml:space="preserve">당근추출 β-카로틴</t>
  </si>
  <si>
    <t xml:space="preserve">천연오렌지색</t>
  </si>
  <si>
    <t xml:space="preserve">안토시아닌(포도껍질)</t>
  </si>
  <si>
    <t xml:space="preserve">포도껍질추출물</t>
  </si>
  <si>
    <t xml:space="preserve">적~보라색</t>
  </si>
  <si>
    <t xml:space="preserve">안토시아닌(적양배추)</t>
  </si>
  <si>
    <t xml:space="preserve">적양배추추출물</t>
  </si>
  <si>
    <r>
      <rPr>
        <sz val="9"/>
        <rFont val="Arial"/>
        <family val="0"/>
        <charset val="1"/>
      </rPr>
      <t xml:space="preserve">pH</t>
    </r>
    <r>
      <rPr>
        <sz val="9"/>
        <rFont val="Noto Sans CJK SC"/>
        <family val="2"/>
      </rPr>
      <t xml:space="preserve">따라 색변환</t>
    </r>
  </si>
  <si>
    <t xml:space="preserve">치자황색소</t>
  </si>
  <si>
    <t xml:space="preserve">크로신(Crocin)</t>
  </si>
  <si>
    <t xml:space="preserve">황색, 천연</t>
  </si>
  <si>
    <t xml:space="preserve">치자청색소</t>
  </si>
  <si>
    <t xml:space="preserve">게니핀+아미노산</t>
  </si>
  <si>
    <t xml:space="preserve">청색, 천연</t>
  </si>
  <si>
    <t xml:space="preserve">홍국색소</t>
  </si>
  <si>
    <t xml:space="preserve">모나콜린K</t>
  </si>
  <si>
    <t xml:space="preserve">적색, 쌀발효</t>
  </si>
  <si>
    <t xml:space="preserve">파프리카색소(캡산틴)</t>
  </si>
  <si>
    <t xml:space="preserve">캡산틴/캡소루빈</t>
  </si>
  <si>
    <t xml:space="preserve">적색~주황색</t>
  </si>
  <si>
    <t xml:space="preserve">코치닐색소(카민)</t>
  </si>
  <si>
    <t xml:space="preserve">카르민산</t>
  </si>
  <si>
    <t xml:space="preserve">적색, 동물성</t>
  </si>
  <si>
    <t xml:space="preserve">클로로필(엽록소)</t>
  </si>
  <si>
    <t xml:space="preserve">클로로필린구리Na</t>
  </si>
  <si>
    <t xml:space="preserve">녹색</t>
  </si>
  <si>
    <t xml:space="preserve">스피룰리나색소</t>
  </si>
  <si>
    <t xml:space="preserve">피코시아닌</t>
  </si>
  <si>
    <t xml:space="preserve">청색, 천연 슈퍼푸드</t>
  </si>
  <si>
    <t xml:space="preserve">울금색소(커큐민)</t>
  </si>
  <si>
    <t xml:space="preserve">커큐민</t>
  </si>
  <si>
    <t xml:space="preserve">황색, 항산화</t>
  </si>
  <si>
    <t xml:space="preserve">리보플라빈(비타민B2)</t>
  </si>
  <si>
    <t xml:space="preserve">리보플라빈</t>
  </si>
  <si>
    <t xml:space="preserve">황색, 비타민겸용</t>
  </si>
  <si>
    <t xml:space="preserve">안정제/증점제</t>
  </si>
  <si>
    <t xml:space="preserve">펙틴(HM/고메톡실)</t>
  </si>
  <si>
    <t xml:space="preserve">에스테르화도 50%이상</t>
  </si>
  <si>
    <t xml:space="preserve">과즙안정화, 산성겔화</t>
  </si>
  <si>
    <t xml:space="preserve">펙틴(LM/저메톡실)</t>
  </si>
  <si>
    <t xml:space="preserve">에스테르화도 50%미만</t>
  </si>
  <si>
    <t xml:space="preserve">칼슘겔화, 저당겔화</t>
  </si>
  <si>
    <r>
      <rPr>
        <sz val="9"/>
        <rFont val="Arial"/>
        <family val="0"/>
        <charset val="1"/>
      </rPr>
      <t xml:space="preserve">CMC(</t>
    </r>
    <r>
      <rPr>
        <sz val="9"/>
        <rFont val="Noto Sans CJK SC"/>
        <family val="2"/>
      </rPr>
      <t xml:space="preserve">카복시메틸셀룰로스</t>
    </r>
    <r>
      <rPr>
        <sz val="9"/>
        <rFont val="Arial"/>
        <family val="0"/>
        <charset val="1"/>
      </rPr>
      <t xml:space="preserve">)</t>
    </r>
  </si>
  <si>
    <t xml:space="preserve">셀룰로스유도체</t>
  </si>
  <si>
    <t xml:space="preserve">증점/안정화, 0.1~0.5%</t>
  </si>
  <si>
    <t xml:space="preserve">잔탄검(Xanthan gum)</t>
  </si>
  <si>
    <t xml:space="preserve">잔토모나스균 발효</t>
  </si>
  <si>
    <t xml:space="preserve">증점, 유변학적 특성</t>
  </si>
  <si>
    <t xml:space="preserve">구아검(Guar gum)</t>
  </si>
  <si>
    <t xml:space="preserve">구아콩종자</t>
  </si>
  <si>
    <t xml:space="preserve">증점, 냉수가용</t>
  </si>
  <si>
    <t xml:space="preserve">로커스트빈검</t>
  </si>
  <si>
    <t xml:space="preserve">캐럽씨앗</t>
  </si>
  <si>
    <t xml:space="preserve">겔화보조, 잔탄검 시너지</t>
  </si>
  <si>
    <t xml:space="preserve">카라기난(Carrageenan)</t>
  </si>
  <si>
    <r>
      <rPr>
        <sz val="9"/>
        <rFont val="Arial"/>
        <family val="0"/>
        <charset val="1"/>
      </rPr>
      <t xml:space="preserve">κ/ι/λ</t>
    </r>
    <r>
      <rPr>
        <sz val="9"/>
        <rFont val="Noto Sans CJK SC"/>
        <family val="2"/>
      </rPr>
      <t xml:space="preserve">카라기난</t>
    </r>
  </si>
  <si>
    <t xml:space="preserve">겔화/증점, 유제품안정화</t>
  </si>
  <si>
    <t xml:space="preserve">기본원료</t>
  </si>
  <si>
    <t xml:space="preserve">수분</t>
  </si>
  <si>
    <t xml:space="preserve">정제수</t>
  </si>
  <si>
    <r>
      <rPr>
        <sz val="9"/>
        <rFont val="Arial"/>
        <family val="0"/>
        <charset val="1"/>
      </rPr>
      <t xml:space="preserve">H2O,</t>
    </r>
    <r>
      <rPr>
        <sz val="9"/>
        <rFont val="Noto Sans CJK SC"/>
        <family val="2"/>
      </rPr>
      <t xml:space="preserve">전도도</t>
    </r>
    <r>
      <rPr>
        <sz val="9"/>
        <rFont val="Arial"/>
        <family val="0"/>
        <charset val="1"/>
      </rPr>
      <t xml:space="preserve">&lt;10μS/cm</t>
    </r>
  </si>
  <si>
    <t xml:space="preserve">기준pH7.0</t>
  </si>
  <si>
    <t xml:space="preserve">음료베이스</t>
  </si>
  <si>
    <t xml:space="preserve">가스</t>
  </si>
  <si>
    <t xml:space="preserve">탄산가스(CO2)</t>
  </si>
  <si>
    <t xml:space="preserve">-</t>
  </si>
  <si>
    <t xml:space="preserve">CO2 99.9%</t>
  </si>
  <si>
    <t xml:space="preserve">가스(봄베)</t>
  </si>
  <si>
    <t xml:space="preserve">탄산시pH3.5~4.2</t>
  </si>
  <si>
    <t xml:space="preserve">2.5~4.0GV</t>
  </si>
  <si>
    <t xml:space="preserve">질소가스(N2)</t>
  </si>
  <si>
    <t xml:space="preserve">N2 99.99%</t>
  </si>
  <si>
    <t xml:space="preserve">질소커피,캔가압</t>
  </si>
  <si>
    <t xml:space="preserve">염류</t>
  </si>
  <si>
    <t xml:space="preserve">정제소금(NaCl)</t>
  </si>
  <si>
    <t xml:space="preserve">NaCl 99%</t>
  </si>
  <si>
    <t xml:space="preserve">분말</t>
  </si>
  <si>
    <t xml:space="preserve">전해질</t>
  </si>
  <si>
    <t xml:space="preserve">염화칼륨(KCl)</t>
  </si>
  <si>
    <t xml:space="preserve">KCl 99%</t>
  </si>
  <si>
    <t xml:space="preserve">전해질보충</t>
  </si>
  <si>
    <t xml:space="preserve">기능성원료</t>
  </si>
  <si>
    <t xml:space="preserve">아미노산</t>
  </si>
  <si>
    <t xml:space="preserve">타우린</t>
  </si>
  <si>
    <t xml:space="preserve">타우린99%</t>
  </si>
  <si>
    <r>
      <rPr>
        <sz val="9"/>
        <rFont val="Arial"/>
        <family val="0"/>
        <charset val="1"/>
      </rPr>
      <t xml:space="preserve">L-</t>
    </r>
    <r>
      <rPr>
        <sz val="9"/>
        <rFont val="Noto Sans CJK SC"/>
        <family val="2"/>
      </rPr>
      <t xml:space="preserve">아르기닌</t>
    </r>
  </si>
  <si>
    <t xml:space="preserve">아르기닌99%</t>
  </si>
  <si>
    <t xml:space="preserve">↑알칼리</t>
  </si>
  <si>
    <t xml:space="preserve">카페인</t>
  </si>
  <si>
    <t xml:space="preserve">카페인(무수)</t>
  </si>
  <si>
    <t xml:space="preserve">카페인99%</t>
  </si>
  <si>
    <t xml:space="preserve">200mg/day</t>
  </si>
  <si>
    <t xml:space="preserve">가라나추출물분말</t>
  </si>
  <si>
    <t xml:space="preserve">카페인10~12%</t>
  </si>
  <si>
    <t xml:space="preserve">천연카페인</t>
  </si>
  <si>
    <t xml:space="preserve">비타민</t>
  </si>
  <si>
    <t xml:space="preserve">비타민B군프리믹스</t>
  </si>
  <si>
    <t xml:space="preserve">B1,B2,B3,B5,B6,B12</t>
  </si>
  <si>
    <t xml:space="preserve">미네랄</t>
  </si>
  <si>
    <t xml:space="preserve">칼슘40%</t>
  </si>
  <si>
    <t xml:space="preserve">칼슘강화</t>
  </si>
  <si>
    <t xml:space="preserve">유제품원료</t>
  </si>
  <si>
    <t xml:space="preserve">분유</t>
  </si>
  <si>
    <t xml:space="preserve">탈지분유</t>
  </si>
  <si>
    <t xml:space="preserve">단백질34%,유당52%</t>
  </si>
  <si>
    <t xml:space="preserve">↓중성</t>
  </si>
  <si>
    <t xml:space="preserve">유산균음료베이스</t>
  </si>
  <si>
    <t xml:space="preserve">전지분유</t>
  </si>
  <si>
    <t xml:space="preserve">지방26%,단백질25%</t>
  </si>
  <si>
    <t xml:space="preserve">유청</t>
  </si>
  <si>
    <t xml:space="preserve">유청분말(WPC35)</t>
  </si>
  <si>
    <t xml:space="preserve">단백질35%</t>
  </si>
  <si>
    <t xml:space="preserve">↓약산성</t>
  </si>
  <si>
    <t xml:space="preserve">추출물</t>
  </si>
  <si>
    <t xml:space="preserve">커피추출액(아라비카)</t>
  </si>
  <si>
    <t xml:space="preserve">카페인,클로로겐산</t>
  </si>
  <si>
    <t xml:space="preserve">한방</t>
  </si>
  <si>
    <t xml:space="preserve">홍삼농축액(6년근)</t>
  </si>
  <si>
    <t xml:space="preserve">진세노사이드</t>
  </si>
  <si>
    <t xml:space="preserve">반고형</t>
  </si>
  <si>
    <t xml:space="preserve">고가원료</t>
  </si>
  <si>
    <t xml:space="preserve">곡물</t>
  </si>
  <si>
    <t xml:space="preserve">옥수수수염추출물</t>
  </si>
  <si>
    <t xml:space="preserve">칼륨,플라보노이드</t>
  </si>
  <si>
    <t xml:space="preserve">보리추출물</t>
  </si>
  <si>
    <t xml:space="preserve">식이섬유,비타민B</t>
  </si>
  <si>
    <t xml:space="preserve">엿기름추출물</t>
  </si>
  <si>
    <t xml:space="preserve">아밀라제,맥아당</t>
  </si>
  <si>
    <t xml:space="preserve">식혜용</t>
  </si>
  <si>
    <t xml:space="preserve">기타원료</t>
  </si>
  <si>
    <t xml:space="preserve">식이섬유</t>
  </si>
  <si>
    <t xml:space="preserve">곤약분말(글루코만난)</t>
  </si>
  <si>
    <t xml:space="preserve">글루코만난95%</t>
  </si>
  <si>
    <t xml:space="preserve">젤리용</t>
  </si>
  <si>
    <t xml:space="preserve">나타데코코</t>
  </si>
  <si>
    <t xml:space="preserve">셀룰로스</t>
  </si>
  <si>
    <t xml:space="preserve">고형</t>
  </si>
  <si>
    <t xml:space="preserve">과립음료용</t>
  </si>
  <si>
    <t xml:space="preserve">보존료</t>
  </si>
  <si>
    <t xml:space="preserve">안식향산나트륨</t>
  </si>
  <si>
    <r>
      <rPr>
        <sz val="9"/>
        <rFont val="Arial"/>
        <family val="0"/>
        <charset val="1"/>
      </rPr>
      <t xml:space="preserve">0.06%</t>
    </r>
    <r>
      <rPr>
        <sz val="9"/>
        <rFont val="Noto Sans CJK SC"/>
        <family val="2"/>
      </rPr>
      <t xml:space="preserve">이하</t>
    </r>
  </si>
  <si>
    <t xml:space="preserve">유화제</t>
  </si>
  <si>
    <t xml:space="preserve">레시틴(대두)</t>
  </si>
  <si>
    <t xml:space="preserve">인지질</t>
  </si>
  <si>
    <t xml:space="preserve">유화,분산</t>
  </si>
  <si>
    <t xml:space="preserve">사과페이스트</t>
  </si>
  <si>
    <t xml:space="preserve">사과산, 식이섬유, 펙틴</t>
  </si>
  <si>
    <t xml:space="preserve">냉동(파우치)</t>
  </si>
  <si>
    <r>
      <rPr>
        <sz val="11"/>
        <color theme="1"/>
        <rFont val="Calibri"/>
        <family val="2"/>
        <charset val="1"/>
      </rPr>
      <t xml:space="preserve">↓3.5</t>
    </r>
    <r>
      <rPr>
        <sz val="11"/>
        <color theme="1"/>
        <rFont val="Noto Sans CJK SC"/>
        <family val="2"/>
      </rPr>
      <t xml:space="preserve">방향</t>
    </r>
  </si>
  <si>
    <t xml:space="preserve">과육감 부여</t>
  </si>
  <si>
    <t xml:space="preserve">가당냉동사과다이스</t>
  </si>
  <si>
    <t xml:space="preserve">사과85.7%+백설탕14.3%</t>
  </si>
  <si>
    <t xml:space="preserve">냉동(벌크)</t>
  </si>
  <si>
    <t xml:space="preserve">과육감+당도 동시</t>
  </si>
  <si>
    <t xml:space="preserve">아미드펙틴(YF575)</t>
  </si>
  <si>
    <r>
      <rPr>
        <sz val="11"/>
        <color theme="1"/>
        <rFont val="Calibri"/>
        <family val="2"/>
        <charset val="1"/>
      </rPr>
      <t xml:space="preserve">HM</t>
    </r>
    <r>
      <rPr>
        <sz val="11"/>
        <color theme="1"/>
        <rFont val="Noto Sans CJK SC"/>
        <family val="2"/>
      </rPr>
      <t xml:space="preserve">펙틴 아미드화</t>
    </r>
  </si>
  <si>
    <t xml:space="preserve">실온(건냉암)</t>
  </si>
  <si>
    <t xml:space="preserve">점도부여, 내열성 우수</t>
  </si>
  <si>
    <t xml:space="preserve">복합추출물</t>
  </si>
  <si>
    <t xml:space="preserve">복합허브추출물</t>
  </si>
  <si>
    <t xml:space="preserve">허브추출혼합물</t>
  </si>
  <si>
    <t xml:space="preserve">기능성/풍미</t>
  </si>
  <si>
    <t xml:space="preserve">소포제</t>
  </si>
  <si>
    <t xml:space="preserve">혼합제제(폼크린200)</t>
  </si>
  <si>
    <t xml:space="preserve">실리콘계 소포제</t>
  </si>
  <si>
    <t xml:space="preserve">실온</t>
  </si>
  <si>
    <t xml:space="preserve">거품제거, 미량사용</t>
  </si>
  <si>
    <t xml:space="preserve">파라티노스</t>
  </si>
  <si>
    <t xml:space="preserve">이소말툴로스</t>
  </si>
  <si>
    <t xml:space="preserve">저GI, 서방형에너지</t>
  </si>
  <si>
    <t xml:space="preserve">결정과당</t>
  </si>
  <si>
    <t xml:space="preserve">과당(Fructose) 결정</t>
  </si>
  <si>
    <t xml:space="preserve">감미도 최고, 저온시↑</t>
  </si>
  <si>
    <t xml:space="preserve">네오헤스피리딘</t>
  </si>
  <si>
    <r>
      <rPr>
        <sz val="11"/>
        <color theme="1"/>
        <rFont val="Calibri"/>
        <family val="2"/>
        <charset val="1"/>
      </rPr>
      <t xml:space="preserve">NHDC, </t>
    </r>
    <r>
      <rPr>
        <sz val="11"/>
        <color theme="1"/>
        <rFont val="Noto Sans CJK SC"/>
        <family val="2"/>
      </rPr>
      <t xml:space="preserve">감귤유래</t>
    </r>
  </si>
  <si>
    <t xml:space="preserve">잔미, 풍미증강</t>
  </si>
  <si>
    <t xml:space="preserve">모넬린</t>
  </si>
  <si>
    <t xml:space="preserve">천연단백질감미료</t>
  </si>
  <si>
    <t xml:space="preserve">열안정성 낮음</t>
  </si>
  <si>
    <t xml:space="preserve">제3인산칼슘</t>
  </si>
  <si>
    <t xml:space="preserve">칼슘보충제, TCP</t>
  </si>
  <si>
    <t xml:space="preserve">칼슘강화, 내열성보강</t>
  </si>
  <si>
    <r>
      <rPr>
        <sz val="11"/>
        <color theme="1"/>
        <rFont val="Calibri"/>
        <family val="2"/>
        <charset val="1"/>
      </rPr>
      <t xml:space="preserve">pH</t>
    </r>
    <r>
      <rPr>
        <sz val="11"/>
        <color theme="1"/>
        <rFont val="Noto Sans CJK SC"/>
        <family val="2"/>
      </rPr>
      <t xml:space="preserve">조절제</t>
    </r>
  </si>
  <si>
    <t xml:space="preserve">구연산삼나트륨</t>
  </si>
  <si>
    <t xml:space="preserve">구연산나트륨, pH완충</t>
  </si>
  <si>
    <t xml:space="preserve">↑방향</t>
  </si>
  <si>
    <r>
      <rPr>
        <sz val="11"/>
        <color theme="1"/>
        <rFont val="Calibri"/>
        <family val="2"/>
        <charset val="1"/>
      </rPr>
      <t xml:space="preserve">pH</t>
    </r>
    <r>
      <rPr>
        <sz val="11"/>
        <color theme="1"/>
        <rFont val="Noto Sans CJK SC"/>
        <family val="2"/>
      </rPr>
      <t xml:space="preserve">완충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산미조절</t>
    </r>
  </si>
  <si>
    <t xml:space="preserve">음료유형</t>
  </si>
  <si>
    <t xml:space="preserve">당도(Brix,°)</t>
  </si>
  <si>
    <r>
      <rPr>
        <b val="true"/>
        <sz val="10"/>
        <color rgb="FFFFFFFF"/>
        <rFont val="Arial"/>
        <family val="0"/>
        <charset val="1"/>
      </rPr>
      <t xml:space="preserve">pH </t>
    </r>
    <r>
      <rPr>
        <b val="true"/>
        <sz val="10"/>
        <color rgb="FFFFFFFF"/>
        <rFont val="Noto Sans CJK SC"/>
        <family val="2"/>
      </rPr>
      <t xml:space="preserve">범위</t>
    </r>
  </si>
  <si>
    <t xml:space="preserve">과즙함량(%)</t>
  </si>
  <si>
    <t xml:space="preserve">고형분(%)</t>
  </si>
  <si>
    <t xml:space="preserve">탄산가스(GV)</t>
  </si>
  <si>
    <t xml:space="preserve">Brix_min</t>
  </si>
  <si>
    <t xml:space="preserve">Brix_max</t>
  </si>
  <si>
    <t xml:space="preserve">pH_min</t>
  </si>
  <si>
    <t xml:space="preserve">pH_max</t>
  </si>
  <si>
    <t xml:space="preserve">산도_min</t>
  </si>
  <si>
    <t xml:space="preserve">산도_max</t>
  </si>
  <si>
    <t xml:space="preserve">과·채주스(100%)</t>
  </si>
  <si>
    <t xml:space="preserve">10~14</t>
  </si>
  <si>
    <t xml:space="preserve">3.0~4.0</t>
  </si>
  <si>
    <t xml:space="preserve">0.3~1.5</t>
  </si>
  <si>
    <t xml:space="preserve">≥100%</t>
  </si>
  <si>
    <t xml:space="preserve">≥10%</t>
  </si>
  <si>
    <t xml:space="preserve">과즙함량 100% 이상</t>
  </si>
  <si>
    <t xml:space="preserve">8~13</t>
  </si>
  <si>
    <t xml:space="preserve">3.0~4.5</t>
  </si>
  <si>
    <t xml:space="preserve">0.2~1.0</t>
  </si>
  <si>
    <t xml:space="preserve">10~99%</t>
  </si>
  <si>
    <t xml:space="preserve">≥5%</t>
  </si>
  <si>
    <t xml:space="preserve">과즙 10% 이상</t>
  </si>
  <si>
    <t xml:space="preserve">10~12</t>
  </si>
  <si>
    <t xml:space="preserve">2.5~4.0</t>
  </si>
  <si>
    <t xml:space="preserve">0.1~0.5</t>
  </si>
  <si>
    <t xml:space="preserve">0</t>
  </si>
  <si>
    <t xml:space="preserve">4.0~6.5</t>
  </si>
  <si>
    <t xml:space="preserve">무당, 무칼로리</t>
  </si>
  <si>
    <t xml:space="preserve">커피음료(가당)</t>
  </si>
  <si>
    <t xml:space="preserve">8~11</t>
  </si>
  <si>
    <t xml:space="preserve">5.5~6.5</t>
  </si>
  <si>
    <t xml:space="preserve">커피고형분 0.5% 이상</t>
  </si>
  <si>
    <t xml:space="preserve">커피음료(블랙)</t>
  </si>
  <si>
    <t xml:space="preserve">0~2</t>
  </si>
  <si>
    <t xml:space="preserve">4.5~5.5</t>
  </si>
  <si>
    <t xml:space="preserve">커피고형분 1.0% 이상</t>
  </si>
  <si>
    <t xml:space="preserve">침출차/액상차</t>
  </si>
  <si>
    <t xml:space="preserve">0~8</t>
  </si>
  <si>
    <t xml:space="preserve">4.0~7.0</t>
  </si>
  <si>
    <t xml:space="preserve">차 추출물 함유</t>
  </si>
  <si>
    <t xml:space="preserve">8~12</t>
  </si>
  <si>
    <t xml:space="preserve">6.5~7.0</t>
  </si>
  <si>
    <t xml:space="preserve">대두고형분 7% 이상</t>
  </si>
  <si>
    <t xml:space="preserve">10~16</t>
  </si>
  <si>
    <t xml:space="preserve">3.5~4.5</t>
  </si>
  <si>
    <t xml:space="preserve">0.5~1.5</t>
  </si>
  <si>
    <t xml:space="preserve">≥3%</t>
  </si>
  <si>
    <t xml:space="preserve">유산균수 10⁷/ml 이상(냉장)</t>
  </si>
  <si>
    <t xml:space="preserve">0.5~1.0</t>
  </si>
  <si>
    <t xml:space="preserve">살균처리</t>
  </si>
  <si>
    <t xml:space="preserve">0.2~0.5</t>
  </si>
  <si>
    <t xml:space="preserve">카페인 ≤150mg/개</t>
  </si>
  <si>
    <t xml:space="preserve">5~8</t>
  </si>
  <si>
    <t xml:space="preserve">0.1~0.3</t>
  </si>
  <si>
    <t xml:space="preserve">삼투압 200~340 mOsm</t>
  </si>
  <si>
    <t xml:space="preserve">5~10</t>
  </si>
  <si>
    <t xml:space="preserve">비타민C 기능성 표시 기준</t>
  </si>
  <si>
    <t xml:space="preserve">3.0~5.0</t>
  </si>
  <si>
    <t xml:space="preserve">0.1~0.8</t>
  </si>
  <si>
    <t xml:space="preserve">0~3.0</t>
  </si>
  <si>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종 이상 혼합</t>
    </r>
  </si>
  <si>
    <t xml:space="preserve">홍삼음료</t>
  </si>
  <si>
    <t xml:space="preserve">8~14</t>
  </si>
  <si>
    <t xml:space="preserve">4.0~6.0</t>
  </si>
  <si>
    <t xml:space="preserve">진세노사이드 기준</t>
  </si>
  <si>
    <t xml:space="preserve">식혜</t>
  </si>
  <si>
    <t xml:space="preserve">12~16</t>
  </si>
  <si>
    <t xml:space="preserve">4.5~6.0</t>
  </si>
  <si>
    <t xml:space="preserve">엿기름 추출</t>
  </si>
  <si>
    <t xml:space="preserve">10~15</t>
  </si>
  <si>
    <t xml:space="preserve">곤약 1% 이상</t>
  </si>
  <si>
    <t xml:space="preserve">공정단계</t>
  </si>
  <si>
    <t xml:space="preserve">세부공정</t>
  </si>
  <si>
    <t xml:space="preserve">작업방법(구체적)</t>
  </si>
  <si>
    <t xml:space="preserve">주요조건/파라미터</t>
  </si>
  <si>
    <t xml:space="preserve">품질관리포인트</t>
  </si>
  <si>
    <r>
      <rPr>
        <b val="true"/>
        <sz val="10"/>
        <color rgb="FFFFFFFF"/>
        <rFont val="Arial"/>
        <family val="0"/>
        <charset val="1"/>
      </rPr>
      <t xml:space="preserve">HACCP </t>
    </r>
    <r>
      <rPr>
        <b val="true"/>
        <sz val="10"/>
        <color rgb="FFFFFFFF"/>
        <rFont val="Noto Sans CJK SC"/>
        <family val="2"/>
      </rPr>
      <t xml:space="preserve">위해요소</t>
    </r>
  </si>
  <si>
    <r>
      <rPr>
        <b val="true"/>
        <sz val="10"/>
        <color rgb="FFFFFFFF"/>
        <rFont val="Arial"/>
        <family val="0"/>
        <charset val="1"/>
      </rPr>
      <t xml:space="preserve">CCP</t>
    </r>
    <r>
      <rPr>
        <b val="true"/>
        <sz val="10"/>
        <color rgb="FFFFFFFF"/>
        <rFont val="Noto Sans CJK SC"/>
        <family val="2"/>
      </rPr>
      <t xml:space="preserve">여부</t>
    </r>
  </si>
  <si>
    <t xml:space="preserve">한계기준(CL)</t>
  </si>
  <si>
    <t xml:space="preserve">모니터링방법</t>
  </si>
  <si>
    <t xml:space="preserve">개선조치</t>
  </si>
  <si>
    <r>
      <rPr>
        <sz val="9"/>
        <rFont val="Arial"/>
        <family val="0"/>
        <charset val="1"/>
      </rPr>
      <t xml:space="preserve">1.</t>
    </r>
    <r>
      <rPr>
        <sz val="9"/>
        <rFont val="Noto Sans CJK SC"/>
        <family val="2"/>
      </rPr>
      <t xml:space="preserve">원료입고</t>
    </r>
  </si>
  <si>
    <t xml:space="preserve">원료입고검사</t>
  </si>
  <si>
    <t xml:space="preserve">납품된 과즙농축액의 성적서 확인, Brix/pH/산도/색도 자체 측정, 관능검사(맛/향/색) 실시, 이물검사</t>
  </si>
  <si>
    <r>
      <rPr>
        <sz val="9"/>
        <rFont val="Arial"/>
        <family val="0"/>
        <charset val="1"/>
      </rPr>
      <t xml:space="preserve">Brix 65±2°, pH </t>
    </r>
    <r>
      <rPr>
        <sz val="9"/>
        <rFont val="Noto Sans CJK SC"/>
        <family val="2"/>
      </rPr>
      <t xml:space="preserve">규격 내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이물 없음</t>
    </r>
  </si>
  <si>
    <t xml:space="preserve">성적서 vs 자체측정 교차검증, LOT번호 기록</t>
  </si>
  <si>
    <t xml:space="preserve">생물학적: 잔류농약, 미생물
화학적: 중금속, 잔류SO₂</t>
  </si>
  <si>
    <t xml:space="preserve">N</t>
  </si>
  <si>
    <t xml:space="preserve">매입고시 성적서 확인 및 자체 Brix/pH 측정</t>
  </si>
  <si>
    <t xml:space="preserve">부적합 시 반품, 해당 LOT 격리</t>
  </si>
  <si>
    <t xml:space="preserve">정제수 검사</t>
  </si>
  <si>
    <t xml:space="preserve">정제수 TDS, pH, 잔류염소, 미생물 검사. RO/UV 처리수 사용</t>
  </si>
  <si>
    <r>
      <rPr>
        <sz val="9"/>
        <rFont val="Arial"/>
        <family val="0"/>
        <charset val="1"/>
      </rPr>
      <t xml:space="preserve">TDS&lt;100ppm, pH 6.5~7.5, </t>
    </r>
    <r>
      <rPr>
        <sz val="9"/>
        <rFont val="Noto Sans CJK SC"/>
        <family val="2"/>
      </rPr>
      <t xml:space="preserve">잔류</t>
    </r>
    <r>
      <rPr>
        <sz val="9"/>
        <rFont val="Arial"/>
        <family val="0"/>
        <charset val="1"/>
      </rPr>
      <t xml:space="preserve">Cl₂&lt;0.1ppm</t>
    </r>
  </si>
  <si>
    <t xml:space="preserve">매일 1회 수질검사</t>
  </si>
  <si>
    <t xml:space="preserve">생물학적: 대장균군
화학적: 잔류염소</t>
  </si>
  <si>
    <t xml:space="preserve">매일 수질검사 기록</t>
  </si>
  <si>
    <t xml:space="preserve">정수설비 점검, 재처리</t>
  </si>
  <si>
    <r>
      <rPr>
        <sz val="9"/>
        <rFont val="Arial"/>
        <family val="0"/>
        <charset val="1"/>
      </rPr>
      <t xml:space="preserve">2.</t>
    </r>
    <r>
      <rPr>
        <sz val="9"/>
        <rFont val="Noto Sans CJK SC"/>
        <family val="2"/>
      </rPr>
      <t xml:space="preserve">계량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칭량</t>
    </r>
  </si>
  <si>
    <t xml:space="preserve">원료 계량</t>
  </si>
  <si>
    <t xml:space="preserve">배합표에 따라 각 원료를 전자저울로 정밀 계량. 농축과즙→정제수→당류→산미료→향료 순서로 계량실에서 계량</t>
  </si>
  <si>
    <t xml:space="preserve">배합표 기준 ±0.5% 이내</t>
  </si>
  <si>
    <t xml:space="preserve">이중확인(2인 칭량/확인), 계량기록부 작성</t>
  </si>
  <si>
    <t xml:space="preserve">물리적: 이물혼입</t>
  </si>
  <si>
    <t xml:space="preserve">매 배치 계량기록 확인</t>
  </si>
  <si>
    <t xml:space="preserve">재칭량, 이물제거</t>
  </si>
  <si>
    <r>
      <rPr>
        <sz val="9"/>
        <rFont val="Arial"/>
        <family val="0"/>
        <charset val="1"/>
      </rPr>
      <t xml:space="preserve">3.</t>
    </r>
    <r>
      <rPr>
        <sz val="9"/>
        <rFont val="Noto Sans CJK SC"/>
        <family val="2"/>
      </rPr>
      <t xml:space="preserve">배합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조합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</si>
  <si>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 배합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당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과즙 용해</t>
    </r>
  </si>
  <si>
    <t xml:space="preserve">배합탱크에 정제수 투입(총량의 60~70%) → 교반기 가동(100~200rpm) → 농축과즙 투입 → 당류(설탕/액상과당) 투입 → 10분간 균일 교반</t>
  </si>
  <si>
    <t xml:space="preserve">탱크 온도 20~30℃, 교반속도 150rpm</t>
  </si>
  <si>
    <t xml:space="preserve">과즙 용해 상태 확인, 거품 최소화</t>
  </si>
  <si>
    <t xml:space="preserve">물리적: 불균일 혼합</t>
  </si>
  <si>
    <t xml:space="preserve">배합 중 온도/교반속도 기록</t>
  </si>
  <si>
    <t xml:space="preserve">추가 교반, 온도 조정</t>
  </si>
  <si>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차 배합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산미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향료</t>
    </r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</si>
  <si>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 배합 후 산미료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구연산 등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투입 → 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분 교반 → 향료 투입 → 잔량 정제수로 볼륨업 → 최종 교반 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분</t>
    </r>
  </si>
  <si>
    <t xml:space="preserve">구연산: 배합표 기준량 투입 후 pH 확인</t>
  </si>
  <si>
    <t xml:space="preserve">산미료 투입 후 pH 즉시 측정</t>
  </si>
  <si>
    <t xml:space="preserve">화학적: 과다/과소 투입</t>
  </si>
  <si>
    <t xml:space="preserve">투입량 더블체크</t>
  </si>
  <si>
    <t xml:space="preserve">재조정(산미료 추가/희석)</t>
  </si>
  <si>
    <r>
      <rPr>
        <sz val="9"/>
        <rFont val="Arial"/>
        <family val="0"/>
        <charset val="1"/>
      </rPr>
      <t xml:space="preserve">4.Brix/pH </t>
    </r>
    <r>
      <rPr>
        <sz val="9"/>
        <rFont val="Noto Sans CJK SC"/>
        <family val="2"/>
      </rPr>
      <t xml:space="preserve">조정</t>
    </r>
  </si>
  <si>
    <t xml:space="preserve">규격 미세조정</t>
  </si>
  <si>
    <r>
      <rPr>
        <sz val="9"/>
        <rFont val="Arial"/>
        <family val="0"/>
        <charset val="1"/>
      </rPr>
      <t xml:space="preserve">Brix: </t>
    </r>
    <r>
      <rPr>
        <sz val="9"/>
        <rFont val="Noto Sans CJK SC"/>
        <family val="2"/>
      </rPr>
      <t xml:space="preserve">당도계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굴절계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로 측정 → 고</t>
    </r>
    <r>
      <rPr>
        <sz val="9"/>
        <rFont val="Arial"/>
        <family val="0"/>
        <charset val="1"/>
      </rPr>
      <t xml:space="preserve">Brix</t>
    </r>
    <r>
      <rPr>
        <sz val="9"/>
        <rFont val="Noto Sans CJK SC"/>
        <family val="2"/>
      </rPr>
      <t xml:space="preserve">시 정제수 추가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저</t>
    </r>
    <r>
      <rPr>
        <sz val="9"/>
        <rFont val="Arial"/>
        <family val="0"/>
        <charset val="1"/>
      </rPr>
      <t xml:space="preserve">Brix</t>
    </r>
    <r>
      <rPr>
        <sz val="9"/>
        <rFont val="Noto Sans CJK SC"/>
        <family val="2"/>
      </rPr>
      <t xml:space="preserve">시 당류 추가</t>
    </r>
    <r>
      <rPr>
        <sz val="9"/>
        <rFont val="Arial"/>
        <family val="0"/>
        <charset val="1"/>
      </rPr>
      <t xml:space="preserve">. pH: pH</t>
    </r>
    <r>
      <rPr>
        <sz val="9"/>
        <rFont val="Noto Sans CJK SC"/>
        <family val="2"/>
      </rPr>
      <t xml:space="preserve">미터 교정 후 측정 → 고</t>
    </r>
    <r>
      <rPr>
        <sz val="9"/>
        <rFont val="Arial"/>
        <family val="0"/>
        <charset val="1"/>
      </rPr>
      <t xml:space="preserve">pH</t>
    </r>
    <r>
      <rPr>
        <sz val="9"/>
        <rFont val="Noto Sans CJK SC"/>
        <family val="2"/>
      </rPr>
      <t xml:space="preserve">시 구연산 추가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저</t>
    </r>
    <r>
      <rPr>
        <sz val="9"/>
        <rFont val="Arial"/>
        <family val="0"/>
        <charset val="1"/>
      </rPr>
      <t xml:space="preserve">pH</t>
    </r>
    <r>
      <rPr>
        <sz val="9"/>
        <rFont val="Noto Sans CJK SC"/>
        <family val="2"/>
      </rPr>
      <t xml:space="preserve">시 구연산</t>
    </r>
    <r>
      <rPr>
        <sz val="9"/>
        <rFont val="Arial"/>
        <family val="0"/>
        <charset val="1"/>
      </rPr>
      <t xml:space="preserve">Na </t>
    </r>
    <r>
      <rPr>
        <sz val="9"/>
        <rFont val="Noto Sans CJK SC"/>
        <family val="2"/>
      </rPr>
      <t xml:space="preserve">추가</t>
    </r>
  </si>
  <si>
    <t xml:space="preserve">목표 Brix ±0.2°, pH ±0.1</t>
  </si>
  <si>
    <t xml:space="preserve">조정 후 3회 재측정하여 평균값 확인</t>
  </si>
  <si>
    <t xml:space="preserve">화학적: 규격 이탈</t>
  </si>
  <si>
    <t xml:space="preserve">조정 전/후 Brix, pH 기록</t>
  </si>
  <si>
    <t xml:space="preserve">재조정 반복, 최대 3회까지</t>
  </si>
  <si>
    <r>
      <rPr>
        <sz val="9"/>
        <rFont val="Arial"/>
        <family val="0"/>
        <charset val="1"/>
      </rPr>
      <t xml:space="preserve">5.</t>
    </r>
    <r>
      <rPr>
        <sz val="9"/>
        <rFont val="Noto Sans CJK SC"/>
        <family val="2"/>
      </rPr>
      <t xml:space="preserve">여과</t>
    </r>
  </si>
  <si>
    <t xml:space="preserve">필터 여과</t>
  </si>
  <si>
    <r>
      <rPr>
        <sz val="9"/>
        <rFont val="Arial"/>
        <family val="0"/>
        <charset val="1"/>
      </rPr>
      <t xml:space="preserve">50μm → 10μm → 5μm </t>
    </r>
    <r>
      <rPr>
        <sz val="9"/>
        <rFont val="Noto Sans CJK SC"/>
        <family val="2"/>
      </rPr>
      <t xml:space="preserve">단계별 필터 통과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카트리지필터 또는 플레이트필터 사용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필터 전후 압력차 모니터링</t>
    </r>
  </si>
  <si>
    <t xml:space="preserve">차압 &lt;2bar, 유량 규격 내</t>
  </si>
  <si>
    <t xml:space="preserve">필터 교체주기 관리, 여과 전후 샘플 채취</t>
  </si>
  <si>
    <t xml:space="preserve">물리적: 이물질 잔류</t>
  </si>
  <si>
    <t xml:space="preserve">필터 차압 연속 모니터링</t>
  </si>
  <si>
    <t xml:space="preserve">필터 교체, 재여과</t>
  </si>
  <si>
    <r>
      <rPr>
        <sz val="9"/>
        <rFont val="Arial"/>
        <family val="0"/>
        <charset val="1"/>
      </rPr>
      <t xml:space="preserve">6.</t>
    </r>
    <r>
      <rPr>
        <sz val="9"/>
        <rFont val="Noto Sans CJK SC"/>
        <family val="2"/>
      </rPr>
      <t xml:space="preserve">균질화</t>
    </r>
  </si>
  <si>
    <t xml:space="preserve">고압균질</t>
  </si>
  <si>
    <t xml:space="preserve">균질기에 배합액 통과. 1단 균질(150bar) + 2단 균질(50bar). 과즙 입자를 1μm 이하로 미세화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</si>
  <si>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단 </t>
    </r>
    <r>
      <rPr>
        <sz val="9"/>
        <rFont val="Arial"/>
        <family val="0"/>
        <charset val="1"/>
      </rPr>
      <t xml:space="preserve">150~200bar, 2</t>
    </r>
    <r>
      <rPr>
        <sz val="9"/>
        <rFont val="Noto Sans CJK SC"/>
        <family val="2"/>
      </rPr>
      <t xml:space="preserve">단 </t>
    </r>
    <r>
      <rPr>
        <sz val="9"/>
        <rFont val="Arial"/>
        <family val="0"/>
        <charset val="1"/>
      </rPr>
      <t xml:space="preserve">40~50bar, </t>
    </r>
    <r>
      <rPr>
        <sz val="9"/>
        <rFont val="Noto Sans CJK SC"/>
        <family val="2"/>
      </rPr>
      <t xml:space="preserve">온도 </t>
    </r>
    <r>
      <rPr>
        <sz val="9"/>
        <rFont val="Arial"/>
        <family val="0"/>
        <charset val="1"/>
      </rPr>
      <t xml:space="preserve">60~65℃</t>
    </r>
  </si>
  <si>
    <t xml:space="preserve">균질 전후 입도분석(레이저 입도계), 분리 여부 확인</t>
  </si>
  <si>
    <t xml:space="preserve">물리적: 불완전 균질</t>
  </si>
  <si>
    <t xml:space="preserve">균질기 압력/온도 연속기록</t>
  </si>
  <si>
    <t xml:space="preserve">압력 재조정, 재균질</t>
  </si>
  <si>
    <r>
      <rPr>
        <sz val="9"/>
        <rFont val="Arial"/>
        <family val="0"/>
        <charset val="1"/>
      </rPr>
      <t xml:space="preserve">7.</t>
    </r>
    <r>
      <rPr>
        <sz val="9"/>
        <rFont val="Noto Sans CJK SC"/>
        <family val="2"/>
      </rPr>
      <t xml:space="preserve">살균</t>
    </r>
  </si>
  <si>
    <r>
      <rPr>
        <sz val="9"/>
        <rFont val="Arial"/>
        <family val="0"/>
        <charset val="1"/>
      </rPr>
      <t xml:space="preserve">UHT </t>
    </r>
    <r>
      <rPr>
        <sz val="9"/>
        <rFont val="Noto Sans CJK SC"/>
        <family val="2"/>
      </rPr>
      <t xml:space="preserve">살균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튜블러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플레이트</t>
    </r>
    <r>
      <rPr>
        <sz val="9"/>
        <rFont val="Arial"/>
        <family val="0"/>
        <charset val="1"/>
      </rPr>
      <t xml:space="preserve">)</t>
    </r>
  </si>
  <si>
    <t xml:space="preserve">플레이트열교환기 또는 튜블러열교환기에서 급속가열 → 홀딩 → 급속냉각. 살균온도 도달 확인센서 자동기록</t>
  </si>
  <si>
    <r>
      <rPr>
        <sz val="9"/>
        <rFont val="Arial"/>
        <family val="0"/>
        <charset val="1"/>
      </rPr>
      <t xml:space="preserve">UHT: 135~140℃, 2~4</t>
    </r>
    <r>
      <rPr>
        <sz val="9"/>
        <rFont val="Noto Sans CJK SC"/>
        <family val="2"/>
      </rPr>
      <t xml:space="preserve">초 홀딩
</t>
    </r>
    <r>
      <rPr>
        <sz val="9"/>
        <rFont val="Arial"/>
        <family val="0"/>
        <charset val="1"/>
      </rPr>
      <t xml:space="preserve">HTST: 72~75℃, 15~30</t>
    </r>
    <r>
      <rPr>
        <sz val="9"/>
        <rFont val="Noto Sans CJK SC"/>
        <family val="2"/>
      </rPr>
      <t xml:space="preserve">초</t>
    </r>
  </si>
  <si>
    <t xml:space="preserve">온도기록계 연속모니터링, 살균온도 미달시 자동우회(Divert)</t>
  </si>
  <si>
    <t xml:space="preserve">★ 생물학적: 병원성 미생물(대장균O157, 살모넬라, 리스테리아)</t>
  </si>
  <si>
    <t xml:space="preserve">CCP-1</t>
  </si>
  <si>
    <t xml:space="preserve">살균온도 ≥135℃, 홀딩시간 ≥2초
(또는 F₀값 기준)</t>
  </si>
  <si>
    <t xml:space="preserve">온도기록계+자동우회밸브 연속모니터링, 매배치 기록확인</t>
  </si>
  <si>
    <t xml:space="preserve">자동우회→재살균, 해당배치 격리/폐기, 원인분석 후 설비점검</t>
  </si>
  <si>
    <r>
      <rPr>
        <sz val="9"/>
        <rFont val="Arial"/>
        <family val="0"/>
        <charset val="1"/>
      </rPr>
      <t xml:space="preserve">8.</t>
    </r>
    <r>
      <rPr>
        <sz val="9"/>
        <rFont val="Noto Sans CJK SC"/>
        <family val="2"/>
      </rPr>
      <t xml:space="preserve">냉각</t>
    </r>
  </si>
  <si>
    <t xml:space="preserve">급속냉각</t>
  </si>
  <si>
    <t xml:space="preserve">살균 직후 냉각섹션 통과하여 5~10℃로 급속 냉각. 글리콜 또는 냉수 사용</t>
  </si>
  <si>
    <t xml:space="preserve">냉각 출구 온도 ≤10℃</t>
  </si>
  <si>
    <t xml:space="preserve">냉각수 온도, 출구 온도 기록</t>
  </si>
  <si>
    <t xml:space="preserve">생물학적: 미생물 재오염(냉각지연시)</t>
  </si>
  <si>
    <t xml:space="preserve">냉각 출구온도 연속기록</t>
  </si>
  <si>
    <t xml:space="preserve">냉각수 온도 조절, 유속 조정</t>
  </si>
  <si>
    <r>
      <rPr>
        <sz val="9"/>
        <rFont val="Arial"/>
        <family val="0"/>
        <charset val="1"/>
      </rPr>
      <t xml:space="preserve">9.</t>
    </r>
    <r>
      <rPr>
        <sz val="9"/>
        <rFont val="Noto Sans CJK SC"/>
        <family val="2"/>
      </rPr>
      <t xml:space="preserve">충전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포장</t>
    </r>
  </si>
  <si>
    <t xml:space="preserve">무균충전(Aseptic) 또는 Hot-fill</t>
  </si>
  <si>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무균충전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살균된 제품을 무균환경</t>
    </r>
    <r>
      <rPr>
        <sz val="9"/>
        <rFont val="Arial"/>
        <family val="0"/>
        <charset val="1"/>
      </rPr>
      <t xml:space="preserve">(Class100)</t>
    </r>
    <r>
      <rPr>
        <sz val="9"/>
        <rFont val="Noto Sans CJK SC"/>
        <family val="2"/>
      </rPr>
      <t xml:space="preserve">에서 사전 살균된 용기에 충전→밀봉
</t>
    </r>
    <r>
      <rPr>
        <sz val="9"/>
        <rFont val="Arial"/>
        <family val="0"/>
        <charset val="1"/>
      </rPr>
      <t xml:space="preserve">[Hot-fill] 85℃</t>
    </r>
    <r>
      <rPr>
        <sz val="9"/>
        <rFont val="Noto Sans CJK SC"/>
        <family val="2"/>
      </rPr>
      <t xml:space="preserve">이상 제품을 용기에 충전→밀봉→반전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캡살균</t>
    </r>
    <r>
      <rPr>
        <sz val="9"/>
        <rFont val="Arial"/>
        <family val="0"/>
        <charset val="1"/>
      </rPr>
      <t xml:space="preserve">)→</t>
    </r>
    <r>
      <rPr>
        <sz val="9"/>
        <rFont val="Noto Sans CJK SC"/>
        <family val="2"/>
      </rPr>
      <t xml:space="preserve">냉각</t>
    </r>
  </si>
  <si>
    <t xml:space="preserve">무균충전: 충전실 양압유지, HEPA필터
Hot-fill: 충전온도 ≥85℃</t>
  </si>
  <si>
    <t xml:space="preserve">★ 충전량 오차 ±2%, 밀봉상태(토크, 리크테스트), 충전실 낙하균 검사</t>
  </si>
  <si>
    <t xml:space="preserve">★ 생물학적: 충전 중 재오염
물리적: 이물혼입, 밀봉불량</t>
  </si>
  <si>
    <t xml:space="preserve">CCP-2</t>
  </si>
  <si>
    <t xml:space="preserve">무균충전: 충전실 양압 ≥5Pa, 낙하균 ≤1CFU/plate
Hot-fill: 충전온도 ≥85℃, 밀봉토크 규격 내</t>
  </si>
  <si>
    <t xml:space="preserve">매 충전시 온도기록, 시간당 밀봉검사, 매일 낙하균 검사</t>
  </si>
  <si>
    <t xml:space="preserve">라인 정지→살균→재가동, 불량제품 격리/폐기</t>
  </si>
  <si>
    <r>
      <rPr>
        <sz val="9"/>
        <rFont val="Arial"/>
        <family val="0"/>
        <charset val="1"/>
      </rPr>
      <t xml:space="preserve">10.</t>
    </r>
    <r>
      <rPr>
        <sz val="9"/>
        <rFont val="Noto Sans CJK SC"/>
        <family val="2"/>
      </rPr>
      <t xml:space="preserve">냉각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건조</t>
    </r>
  </si>
  <si>
    <t xml:space="preserve">충전 후 냉각</t>
  </si>
  <si>
    <r>
      <rPr>
        <sz val="9"/>
        <rFont val="Arial"/>
        <family val="0"/>
        <charset val="1"/>
      </rPr>
      <t xml:space="preserve">Hot-fill </t>
    </r>
    <r>
      <rPr>
        <sz val="9"/>
        <rFont val="Noto Sans CJK SC"/>
        <family val="2"/>
      </rPr>
      <t xml:space="preserve">제품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반전 후 터널쿨러에서 </t>
    </r>
    <r>
      <rPr>
        <sz val="9"/>
        <rFont val="Arial"/>
        <family val="0"/>
        <charset val="1"/>
      </rPr>
      <t xml:space="preserve">40℃</t>
    </r>
    <r>
      <rPr>
        <sz val="9"/>
        <rFont val="Noto Sans CJK SC"/>
        <family val="2"/>
      </rPr>
      <t xml:space="preserve">이하로 냉각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무균충전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필요시 냉장보관</t>
    </r>
  </si>
  <si>
    <t xml:space="preserve">냉각 후 제품 온도 ≤40℃</t>
  </si>
  <si>
    <t xml:space="preserve">냉각 프로파일 기록</t>
  </si>
  <si>
    <t xml:space="preserve">물리적: 용기변형(급냉시)</t>
  </si>
  <si>
    <t xml:space="preserve">터널쿨러 출구 온도 기록</t>
  </si>
  <si>
    <t xml:space="preserve">냉각속도 조정</t>
  </si>
  <si>
    <r>
      <rPr>
        <sz val="9"/>
        <rFont val="Arial"/>
        <family val="0"/>
        <charset val="1"/>
      </rPr>
      <t xml:space="preserve">11.</t>
    </r>
    <r>
      <rPr>
        <sz val="9"/>
        <rFont val="Noto Sans CJK SC"/>
        <family val="2"/>
      </rPr>
      <t xml:space="preserve">검사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라벨링</t>
    </r>
  </si>
  <si>
    <t xml:space="preserve">완제품 검사</t>
  </si>
  <si>
    <t xml:space="preserve">관능검사(맛/향/색/이물), 이화학검사(Brix/pH/산도), 미생물검사(대장균군/세균수), 이물검사(X-ray/금속검출기), 라벨부착 확인</t>
  </si>
  <si>
    <t xml:space="preserve">대장균군 음성, 세균수 ≤100CFU/ml, Brix/pH 규격 내</t>
  </si>
  <si>
    <t xml:space="preserve">★ 금속검출기/X-ray 검사 100% 실시</t>
  </si>
  <si>
    <t xml:space="preserve">★ 물리적: 금속이물, 유리파편</t>
  </si>
  <si>
    <t xml:space="preserve">CCP-3</t>
  </si>
  <si>
    <t xml:space="preserve">금속검출기: Fe ≥1.5mm, SUS ≥2.5mm 검출
X-ray: 유리 ≥3mm</t>
  </si>
  <si>
    <t xml:space="preserve">모든 제품 금속검출기/X-ray 통과, 매 2시간 테스트피스 검증</t>
  </si>
  <si>
    <t xml:space="preserve">검출제품 라인에서 제거→격리→원인조사, 전후 제품 재검사</t>
  </si>
  <si>
    <r>
      <rPr>
        <sz val="9"/>
        <rFont val="Arial"/>
        <family val="0"/>
        <charset val="1"/>
      </rPr>
      <t xml:space="preserve">12.</t>
    </r>
    <r>
      <rPr>
        <sz val="9"/>
        <rFont val="Noto Sans CJK SC"/>
        <family val="2"/>
      </rPr>
      <t xml:space="preserve">보관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출하</t>
    </r>
  </si>
  <si>
    <t xml:space="preserve">완제품 보관</t>
  </si>
  <si>
    <t xml:space="preserve">냉장제품: 0~10℃ 냉장창고 보관. 상온제품: 직사광선 회피, 상온창고. FIFO 원칙</t>
  </si>
  <si>
    <t xml:space="preserve">냉장: 0~10℃, 상온: 15~25℃</t>
  </si>
  <si>
    <t xml:space="preserve">출고 전 보존시험 결과 확인, 유통기한 관리</t>
  </si>
  <si>
    <t xml:space="preserve">생물학적: 보관 중 변질</t>
  </si>
  <si>
    <t xml:space="preserve">창고 온도 연속기록</t>
  </si>
  <si>
    <t xml:space="preserve">온도 이탈 시 원인 제거, 해당 제품 검사</t>
  </si>
  <si>
    <t xml:space="preserve">당류/산미료/색소/향료/CO₂ 성적서 확인, 자체검사</t>
  </si>
  <si>
    <t xml:space="preserve">각 원료 규격 내</t>
  </si>
  <si>
    <t xml:space="preserve">성적서 교차확인</t>
  </si>
  <si>
    <t xml:space="preserve">생물학적: 미생물오염
화학적: 중금속</t>
  </si>
  <si>
    <t xml:space="preserve">매입고시</t>
  </si>
  <si>
    <t xml:space="preserve">부적합 반품</t>
  </si>
  <si>
    <r>
      <rPr>
        <sz val="9"/>
        <rFont val="Arial"/>
        <family val="0"/>
        <charset val="1"/>
      </rPr>
      <t xml:space="preserve">2.</t>
    </r>
    <r>
      <rPr>
        <sz val="9"/>
        <rFont val="Noto Sans CJK SC"/>
        <family val="2"/>
      </rPr>
      <t xml:space="preserve">시럽조합</t>
    </r>
  </si>
  <si>
    <t xml:space="preserve">시럽 제조</t>
  </si>
  <si>
    <t xml:space="preserve">배합탱크에 정제수(65℃ 가온) → 설탕 용해(30분 교반) → 산미료(인산/구연산) → 색소(카라멜) → 향료 투입 → 냉각</t>
  </si>
  <si>
    <t xml:space="preserve">시럽 Brix 50~55°, 온도 65℃→25℃ 냉각</t>
  </si>
  <si>
    <t xml:space="preserve">용해 완전 확인(투명도), Brix 측정</t>
  </si>
  <si>
    <t xml:space="preserve">물리적: 미용해 잔류</t>
  </si>
  <si>
    <t xml:space="preserve">시럽 Brix/pH 매배치 측정</t>
  </si>
  <si>
    <t xml:space="preserve">재교반, 가온용해</t>
  </si>
  <si>
    <r>
      <rPr>
        <sz val="9"/>
        <rFont val="Arial"/>
        <family val="0"/>
        <charset val="1"/>
      </rPr>
      <t xml:space="preserve">3.</t>
    </r>
    <r>
      <rPr>
        <sz val="9"/>
        <rFont val="Noto Sans CJK SC"/>
        <family val="2"/>
      </rPr>
      <t xml:space="preserve">시럽여과</t>
    </r>
  </si>
  <si>
    <t xml:space="preserve">시럽 필터링</t>
  </si>
  <si>
    <t xml:space="preserve">카트리지필터(5μm)로 시럽 여과. 필터 전후 차압 모니터링</t>
  </si>
  <si>
    <r>
      <rPr>
        <sz val="9"/>
        <rFont val="Arial"/>
        <family val="0"/>
        <charset val="1"/>
      </rPr>
      <t xml:space="preserve">5μm </t>
    </r>
    <r>
      <rPr>
        <sz val="9"/>
        <rFont val="Noto Sans CJK SC"/>
        <family val="2"/>
      </rPr>
      <t xml:space="preserve">필터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차압 </t>
    </r>
    <r>
      <rPr>
        <sz val="9"/>
        <rFont val="Arial"/>
        <family val="0"/>
        <charset val="1"/>
      </rPr>
      <t xml:space="preserve">&lt;1.5bar</t>
    </r>
  </si>
  <si>
    <t xml:space="preserve">여과 후 투명도 확인(탁도계)</t>
  </si>
  <si>
    <t xml:space="preserve">물리적: 이물질</t>
  </si>
  <si>
    <t xml:space="preserve">여과 후 탁도 기록</t>
  </si>
  <si>
    <t xml:space="preserve">필터 교체</t>
  </si>
  <si>
    <r>
      <rPr>
        <sz val="9"/>
        <rFont val="Arial"/>
        <family val="0"/>
        <charset val="1"/>
      </rPr>
      <t xml:space="preserve">4.</t>
    </r>
    <r>
      <rPr>
        <sz val="9"/>
        <rFont val="Noto Sans CJK SC"/>
        <family val="2"/>
      </rPr>
      <t xml:space="preserve">시럽살균</t>
    </r>
  </si>
  <si>
    <t xml:space="preserve">시럽 살균처리</t>
  </si>
  <si>
    <t xml:space="preserve">플레이트열교환기에서 시럽 살균 처리 → 냉각</t>
  </si>
  <si>
    <r>
      <rPr>
        <sz val="9"/>
        <rFont val="Arial"/>
        <family val="0"/>
        <charset val="1"/>
      </rPr>
      <t xml:space="preserve">85℃, 30</t>
    </r>
    <r>
      <rPr>
        <sz val="9"/>
        <rFont val="Noto Sans CJK SC"/>
        <family val="2"/>
      </rPr>
      <t xml:space="preserve">초 또는 동등 조건</t>
    </r>
  </si>
  <si>
    <t xml:space="preserve">온도기록계 연속기록</t>
  </si>
  <si>
    <t xml:space="preserve">★ 생물학적: 효모/곰팡이(고당도 환경)</t>
  </si>
  <si>
    <t xml:space="preserve">시럽 살균 ≥85℃, ≥30초</t>
  </si>
  <si>
    <t xml:space="preserve">온도기록계 연속모니터링</t>
  </si>
  <si>
    <t xml:space="preserve">미달시 재살균, 해당 시럽 격리</t>
  </si>
  <si>
    <r>
      <rPr>
        <sz val="9"/>
        <rFont val="Arial"/>
        <family val="0"/>
        <charset val="1"/>
      </rPr>
      <t xml:space="preserve">5.</t>
    </r>
    <r>
      <rPr>
        <sz val="9"/>
        <rFont val="Noto Sans CJK SC"/>
        <family val="2"/>
      </rPr>
      <t xml:space="preserve">비례혼합</t>
    </r>
  </si>
  <si>
    <t xml:space="preserve">시럽+정제수 혼합</t>
  </si>
  <si>
    <r>
      <rPr>
        <sz val="9"/>
        <rFont val="Arial"/>
        <family val="0"/>
        <charset val="1"/>
      </rPr>
      <t xml:space="preserve">Blender(</t>
    </r>
    <r>
      <rPr>
        <sz val="9"/>
        <rFont val="Noto Sans CJK SC"/>
        <family val="2"/>
      </rPr>
      <t xml:space="preserve">비례혼합기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로 시럽</t>
    </r>
    <r>
      <rPr>
        <sz val="9"/>
        <rFont val="Arial"/>
        <family val="0"/>
        <charset val="1"/>
      </rPr>
      <t xml:space="preserve">:</t>
    </r>
    <r>
      <rPr>
        <sz val="9"/>
        <rFont val="Noto Sans CJK SC"/>
        <family val="2"/>
      </rPr>
      <t xml:space="preserve">정제수를 설정비율로 연속혼합</t>
    </r>
    <r>
      <rPr>
        <sz val="9"/>
        <rFont val="Arial"/>
        <family val="0"/>
        <charset val="1"/>
      </rPr>
      <t xml:space="preserve">. Brix</t>
    </r>
    <r>
      <rPr>
        <sz val="9"/>
        <rFont val="Noto Sans CJK SC"/>
        <family val="2"/>
      </rPr>
      <t xml:space="preserve">센서로 실시간 모니터링</t>
    </r>
  </si>
  <si>
    <t xml:space="preserve">시럽:정제수 비율에 따른 목표 Brix</t>
  </si>
  <si>
    <r>
      <rPr>
        <sz val="9"/>
        <rFont val="Arial"/>
        <family val="0"/>
        <charset val="1"/>
      </rPr>
      <t xml:space="preserve">Brix </t>
    </r>
    <r>
      <rPr>
        <sz val="9"/>
        <rFont val="Noto Sans CJK SC"/>
        <family val="2"/>
      </rPr>
      <t xml:space="preserve">연속모니터링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자동조정</t>
    </r>
  </si>
  <si>
    <t xml:space="preserve">화학적: Brix 이탈</t>
  </si>
  <si>
    <r>
      <rPr>
        <sz val="9"/>
        <rFont val="Arial"/>
        <family val="0"/>
        <charset val="1"/>
      </rPr>
      <t xml:space="preserve">Brix</t>
    </r>
    <r>
      <rPr>
        <sz val="9"/>
        <rFont val="Noto Sans CJK SC"/>
        <family val="2"/>
      </rPr>
      <t xml:space="preserve">센서 실시간 기록</t>
    </r>
  </si>
  <si>
    <t xml:space="preserve">비율 자동조정</t>
  </si>
  <si>
    <r>
      <rPr>
        <sz val="9"/>
        <rFont val="Arial"/>
        <family val="0"/>
        <charset val="1"/>
      </rPr>
      <t xml:space="preserve">6.</t>
    </r>
    <r>
      <rPr>
        <sz val="9"/>
        <rFont val="Noto Sans CJK SC"/>
        <family val="2"/>
      </rPr>
      <t xml:space="preserve">냉각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탈기</t>
    </r>
  </si>
  <si>
    <t xml:space="preserve">제품 냉각 및 탈기</t>
  </si>
  <si>
    <t xml:space="preserve">혼합액을 디에어레이터(탈기기)로 용존산소 제거 후 플레이트쿨러에서 2~4℃로 냉각</t>
  </si>
  <si>
    <t xml:space="preserve">냉각온도 2~4℃, DO &lt;1ppm</t>
  </si>
  <si>
    <t xml:space="preserve">냉각온도, DO 기록</t>
  </si>
  <si>
    <t xml:space="preserve">화학적: 산화(DO높을시)</t>
  </si>
  <si>
    <t xml:space="preserve">냉각온도/DO 연속기록</t>
  </si>
  <si>
    <t xml:space="preserve">냉각수 온도 조정, 탈기 재실시</t>
  </si>
  <si>
    <r>
      <rPr>
        <sz val="9"/>
        <rFont val="Arial"/>
        <family val="0"/>
        <charset val="1"/>
      </rPr>
      <t xml:space="preserve">7.</t>
    </r>
    <r>
      <rPr>
        <sz val="9"/>
        <rFont val="Noto Sans CJK SC"/>
        <family val="2"/>
      </rPr>
      <t xml:space="preserve">탄산주입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카보네이션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</si>
  <si>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CO₂ </t>
    </r>
    <r>
      <rPr>
        <sz val="9"/>
        <rFont val="Noto Sans CJK SC"/>
        <family val="2"/>
      </rPr>
      <t xml:space="preserve">주입</t>
    </r>
  </si>
  <si>
    <t xml:space="preserve">카보네이터에서 냉각된 혼합액에 CO₂ 가스를 설정 가스볼륨까지 주입. 압력/온도로 GV 자동제어</t>
  </si>
  <si>
    <t xml:space="preserve">가스볼륨 2.5~4.0 GV(제품별 설정), 온도 2~4℃</t>
  </si>
  <si>
    <r>
      <rPr>
        <sz val="9"/>
        <rFont val="Arial"/>
        <family val="0"/>
        <charset val="1"/>
      </rPr>
      <t xml:space="preserve">GV </t>
    </r>
    <r>
      <rPr>
        <sz val="9"/>
        <rFont val="Noto Sans CJK SC"/>
        <family val="2"/>
      </rPr>
      <t xml:space="preserve">연속모니터링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매시간 수동 </t>
    </r>
    <r>
      <rPr>
        <sz val="9"/>
        <rFont val="Arial"/>
        <family val="0"/>
        <charset val="1"/>
      </rPr>
      <t xml:space="preserve">GV </t>
    </r>
    <r>
      <rPr>
        <sz val="9"/>
        <rFont val="Noto Sans CJK SC"/>
        <family val="2"/>
      </rPr>
      <t xml:space="preserve">측정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가스볼륨테스터</t>
    </r>
    <r>
      <rPr>
        <sz val="9"/>
        <rFont val="Arial"/>
        <family val="0"/>
        <charset val="1"/>
      </rPr>
      <t xml:space="preserve">)</t>
    </r>
  </si>
  <si>
    <t xml:space="preserve">화학적: CO₂ 과다/부족</t>
  </si>
  <si>
    <r>
      <rPr>
        <sz val="9"/>
        <rFont val="Arial"/>
        <family val="0"/>
        <charset val="1"/>
      </rPr>
      <t xml:space="preserve">GV </t>
    </r>
    <r>
      <rPr>
        <sz val="9"/>
        <rFont val="Noto Sans CJK SC"/>
        <family val="2"/>
      </rPr>
      <t xml:space="preserve">센서 연속기록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수동측정</t>
    </r>
  </si>
  <si>
    <r>
      <rPr>
        <sz val="9"/>
        <rFont val="Arial"/>
        <family val="0"/>
        <charset val="1"/>
      </rPr>
      <t xml:space="preserve">CO₂ </t>
    </r>
    <r>
      <rPr>
        <sz val="9"/>
        <rFont val="Noto Sans CJK SC"/>
        <family val="2"/>
      </rPr>
      <t xml:space="preserve">압력 조정</t>
    </r>
  </si>
  <si>
    <r>
      <rPr>
        <sz val="9"/>
        <rFont val="Arial"/>
        <family val="0"/>
        <charset val="1"/>
      </rPr>
      <t xml:space="preserve">8.</t>
    </r>
    <r>
      <rPr>
        <sz val="9"/>
        <rFont val="Noto Sans CJK SC"/>
        <family val="2"/>
      </rPr>
      <t xml:space="preserve">충전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밀봉</t>
    </r>
  </si>
  <si>
    <t xml:space="preserve">카운터프레셔 충전</t>
  </si>
  <si>
    <t xml:space="preserve">카운터프레셔 충전기로 CO₂ 손실 최소화하며 캔/PET 충전. 밀봉(크라운캡/EOE/나사캡)</t>
  </si>
  <si>
    <t xml:space="preserve">충전온도 2~6℃, 충전량 ±2%, 밀봉 토크 규격</t>
  </si>
  <si>
    <t xml:space="preserve">★ 충전 중 GV 손실 최소화, 밀봉검사(리크, 토크)</t>
  </si>
  <si>
    <t xml:space="preserve">★ 생물학적: 재오염
물리적: 밀봉불량</t>
  </si>
  <si>
    <t xml:space="preserve">충전온도 ≤6℃, 밀봉 리크테스트 합격, 충전량 ±2%</t>
  </si>
  <si>
    <t xml:space="preserve">매시간 밀봉검사, 충전량 검사, 온도 연속기록</t>
  </si>
  <si>
    <t xml:space="preserve">불량 밀봉 라인정지, 해당제품 격리/폐기</t>
  </si>
  <si>
    <r>
      <rPr>
        <sz val="9"/>
        <rFont val="Arial"/>
        <family val="0"/>
        <charset val="1"/>
      </rPr>
      <t xml:space="preserve">9.</t>
    </r>
    <r>
      <rPr>
        <sz val="9"/>
        <rFont val="Noto Sans CJK SC"/>
        <family val="2"/>
      </rPr>
      <t xml:space="preserve">온수살균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캔</t>
    </r>
    <r>
      <rPr>
        <sz val="9"/>
        <rFont val="Arial"/>
        <family val="0"/>
        <charset val="1"/>
      </rPr>
      <t xml:space="preserve">/PET)</t>
    </r>
  </si>
  <si>
    <t xml:space="preserve">워머(Warmer) 통과</t>
  </si>
  <si>
    <t xml:space="preserve">탄산음료는 추가 가열살균 불가(CO₂ 손실). 대신 캔/PET 외면 세척건조. (필요시 터널파스퇴라이저 35~38℃)</t>
  </si>
  <si>
    <t xml:space="preserve">외면온도 35~38℃(표면세균 억제)</t>
  </si>
  <si>
    <t xml:space="preserve">외관 검사</t>
  </si>
  <si>
    <r>
      <rPr>
        <sz val="9"/>
        <rFont val="Arial"/>
        <family val="0"/>
        <charset val="1"/>
      </rPr>
      <t xml:space="preserve">N/A(</t>
    </r>
    <r>
      <rPr>
        <sz val="9"/>
        <rFont val="Noto Sans CJK SC"/>
        <family val="2"/>
      </rPr>
      <t xml:space="preserve">탄산으로 미생물 억제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</si>
  <si>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10.</t>
    </r>
    <r>
      <rPr>
        <sz val="9"/>
        <rFont val="Noto Sans CJK SC"/>
        <family val="2"/>
      </rPr>
      <t xml:space="preserve">검사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출하</t>
    </r>
  </si>
  <si>
    <t xml:space="preserve">관능/Brix/pH/GV/미생물/이물(금속검출기) 검사, 라벨링 확인</t>
  </si>
  <si>
    <r>
      <rPr>
        <sz val="9"/>
        <rFont val="Arial"/>
        <family val="0"/>
        <charset val="1"/>
      </rPr>
      <t xml:space="preserve">GV </t>
    </r>
    <r>
      <rPr>
        <sz val="9"/>
        <rFont val="Noto Sans CJK SC"/>
        <family val="2"/>
      </rPr>
      <t xml:space="preserve">규격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세균수 기준</t>
    </r>
    <r>
      <rPr>
        <sz val="9"/>
        <rFont val="Arial"/>
        <family val="0"/>
        <charset val="1"/>
      </rPr>
      <t xml:space="preserve">, Brix/pH </t>
    </r>
    <r>
      <rPr>
        <sz val="9"/>
        <rFont val="Noto Sans CJK SC"/>
        <family val="2"/>
      </rPr>
      <t xml:space="preserve">규격</t>
    </r>
  </si>
  <si>
    <t xml:space="preserve">★ 금속검출기 100% 통과</t>
  </si>
  <si>
    <t xml:space="preserve">★ 물리적: 금속이물</t>
  </si>
  <si>
    <r>
      <rPr>
        <sz val="9"/>
        <rFont val="Arial"/>
        <family val="0"/>
        <charset val="1"/>
      </rPr>
      <t xml:space="preserve">Fe ≥1.5mm, SUS ≥2.5mm </t>
    </r>
    <r>
      <rPr>
        <sz val="9"/>
        <rFont val="Noto Sans CJK SC"/>
        <family val="2"/>
      </rPr>
      <t xml:space="preserve">검출</t>
    </r>
  </si>
  <si>
    <t xml:space="preserve">모든 제품 금속검출기 통과</t>
  </si>
  <si>
    <t xml:space="preserve">검출 제품 격리, 전후 재검사</t>
  </si>
  <si>
    <r>
      <rPr>
        <sz val="9"/>
        <rFont val="Arial"/>
        <family val="0"/>
        <charset val="1"/>
      </rPr>
      <t xml:space="preserve">1.</t>
    </r>
    <r>
      <rPr>
        <sz val="9"/>
        <rFont val="Noto Sans CJK SC"/>
        <family val="2"/>
      </rPr>
      <t xml:space="preserve">원두입고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검수</t>
    </r>
  </si>
  <si>
    <t xml:space="preserve">원두 입고검사</t>
  </si>
  <si>
    <t xml:space="preserve">생두 또는 로스팅원두 입고. 수분(10~12%), 결점두 비율(&lt;5%), 잔류농약 성적서 확인</t>
  </si>
  <si>
    <t xml:space="preserve">수분 10~12%, 결점두 &lt;5%</t>
  </si>
  <si>
    <t xml:space="preserve">성적서 확인, 관능(커핑)</t>
  </si>
  <si>
    <t xml:space="preserve">화학적: 잔류농약
물리적: 이물(돌,금속)</t>
  </si>
  <si>
    <t xml:space="preserve">입고시 수분/결점두 확인</t>
  </si>
  <si>
    <t xml:space="preserve">반품, LOT격리</t>
  </si>
  <si>
    <r>
      <rPr>
        <sz val="9"/>
        <rFont val="Arial"/>
        <family val="0"/>
        <charset val="1"/>
      </rPr>
      <t xml:space="preserve">2.</t>
    </r>
    <r>
      <rPr>
        <sz val="9"/>
        <rFont val="Noto Sans CJK SC"/>
        <family val="2"/>
      </rPr>
      <t xml:space="preserve">로스팅</t>
    </r>
  </si>
  <si>
    <t xml:space="preserve">원두 로스팅</t>
  </si>
  <si>
    <t xml:space="preserve">드럼식 로스터에서 생두 투입 → 건조(100~180℃) → 1차 크랙(190~200℃) → 발현(200~230℃) → 냉각</t>
  </si>
  <si>
    <t xml:space="preserve">투입온도/종료온도 관리, 로스팅시간 10~15분</t>
  </si>
  <si>
    <t xml:space="preserve">로스팅 프로파일(온도곡선) 기록, 색도(Agtron 기준)</t>
  </si>
  <si>
    <t xml:space="preserve">화학적: 아크릴아마이드(과도 로스팅)</t>
  </si>
  <si>
    <t xml:space="preserve">로스팅 프로파일 매배치 기록</t>
  </si>
  <si>
    <t xml:space="preserve">온도/시간 조정</t>
  </si>
  <si>
    <r>
      <rPr>
        <sz val="9"/>
        <rFont val="Arial"/>
        <family val="0"/>
        <charset val="1"/>
      </rPr>
      <t xml:space="preserve">3.</t>
    </r>
    <r>
      <rPr>
        <sz val="9"/>
        <rFont val="Noto Sans CJK SC"/>
        <family val="2"/>
      </rPr>
      <t xml:space="preserve">분쇄</t>
    </r>
  </si>
  <si>
    <t xml:space="preserve">원두 분쇄</t>
  </si>
  <si>
    <t xml:space="preserve">롤밀 또는 그라인더로 용도별 입도 분쇄. 드립/필터: 500~700μm, 에스프레소: 200~300μm</t>
  </si>
  <si>
    <t xml:space="preserve">입도 목표 ±50μm</t>
  </si>
  <si>
    <t xml:space="preserve">입도분석기로 입도분포 확인</t>
  </si>
  <si>
    <t xml:space="preserve">물리적: 금속파편(분쇄기마모)</t>
  </si>
  <si>
    <t xml:space="preserve">매배치 입도 측정, 자석제거기 통과</t>
  </si>
  <si>
    <t xml:space="preserve">분쇄기 날 교체, 자석청소</t>
  </si>
  <si>
    <r>
      <rPr>
        <sz val="9"/>
        <rFont val="Arial"/>
        <family val="0"/>
        <charset val="1"/>
      </rPr>
      <t xml:space="preserve">4.</t>
    </r>
    <r>
      <rPr>
        <sz val="9"/>
        <rFont val="Noto Sans CJK SC"/>
        <family val="2"/>
      </rPr>
      <t xml:space="preserve">추출</t>
    </r>
  </si>
  <si>
    <t xml:space="preserve">커피 추출</t>
  </si>
  <si>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드립추출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열수</t>
    </r>
    <r>
      <rPr>
        <sz val="9"/>
        <rFont val="Arial"/>
        <family val="0"/>
        <charset val="1"/>
      </rPr>
      <t xml:space="preserve">(90~96℃)</t>
    </r>
    <r>
      <rPr>
        <sz val="9"/>
        <rFont val="Noto Sans CJK SC"/>
        <family val="2"/>
      </rPr>
      <t xml:space="preserve">를 분쇄 커피에 통과</t>
    </r>
    <r>
      <rPr>
        <sz val="9"/>
        <rFont val="Arial"/>
        <family val="0"/>
        <charset val="1"/>
      </rPr>
      <t xml:space="preserve">. [</t>
    </r>
    <r>
      <rPr>
        <sz val="9"/>
        <rFont val="Noto Sans CJK SC"/>
        <family val="2"/>
      </rPr>
      <t xml:space="preserve">콜드브루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냉수</t>
    </r>
    <r>
      <rPr>
        <sz val="9"/>
        <rFont val="Arial"/>
        <family val="0"/>
        <charset val="1"/>
      </rPr>
      <t xml:space="preserve">(5~15℃) 12~24</t>
    </r>
    <r>
      <rPr>
        <sz val="9"/>
        <rFont val="Noto Sans CJK SC"/>
        <family val="2"/>
      </rPr>
      <t xml:space="preserve">시간 침지추출</t>
    </r>
  </si>
  <si>
    <t xml:space="preserve">열수추출: 90~96℃, 추출수율 18~22%, 추출 Brix 1.5~3.0
콜드브루: 5~15℃, 12~24hr</t>
  </si>
  <si>
    <t xml:space="preserve">추출 Brix, 추출수율 매배치 확인</t>
  </si>
  <si>
    <t xml:space="preserve">화학적: 카페인함량 변동</t>
  </si>
  <si>
    <t xml:space="preserve">추출 Brix/수율 기록</t>
  </si>
  <si>
    <t xml:space="preserve">추출조건 재조정</t>
  </si>
  <si>
    <r>
      <rPr>
        <sz val="9"/>
        <rFont val="Arial"/>
        <family val="0"/>
        <charset val="1"/>
      </rPr>
      <t xml:space="preserve">5.</t>
    </r>
    <r>
      <rPr>
        <sz val="9"/>
        <rFont val="Noto Sans CJK SC"/>
        <family val="2"/>
      </rPr>
      <t xml:space="preserve">배합</t>
    </r>
  </si>
  <si>
    <t xml:space="preserve">커피+부재료 배합</t>
  </si>
  <si>
    <t xml:space="preserve">커피추출액 + 정제수 + 우유 + 설탕 + 유화제 + 향료를 배합표 순서대로 투입, 교반</t>
  </si>
  <si>
    <t xml:space="preserve">목표 Brix/pH 맞춤</t>
  </si>
  <si>
    <t xml:space="preserve">투입순서 준수(유지방→수용성 순), Brix/pH 확인</t>
  </si>
  <si>
    <t xml:space="preserve">매배치 Brix/pH 기록</t>
  </si>
  <si>
    <t xml:space="preserve">재교반</t>
  </si>
  <si>
    <t xml:space="preserve">고압 균질</t>
  </si>
  <si>
    <t xml:space="preserve">유지방 함유 제품(라떼 등): 균질기 150~200bar에서 유화입자 미세화</t>
  </si>
  <si>
    <t xml:space="preserve">150~200bar</t>
  </si>
  <si>
    <t xml:space="preserve">균질 전후 유지방 분리 검사</t>
  </si>
  <si>
    <t xml:space="preserve">물리적: 유지방 분리(ring)</t>
  </si>
  <si>
    <t xml:space="preserve">균질압력 기록, 분리시험</t>
  </si>
  <si>
    <t xml:space="preserve">재균질</t>
  </si>
  <si>
    <r>
      <rPr>
        <sz val="9"/>
        <rFont val="Arial"/>
        <family val="0"/>
        <charset val="1"/>
      </rPr>
      <t xml:space="preserve">UHT </t>
    </r>
    <r>
      <rPr>
        <sz val="9"/>
        <rFont val="Noto Sans CJK SC"/>
        <family val="2"/>
      </rPr>
      <t xml:space="preserve">살균</t>
    </r>
  </si>
  <si>
    <t xml:space="preserve">플레이트/튜블러 열교환기에서 UHT 살균. 또는 레토르트 살균(캔)</t>
  </si>
  <si>
    <r>
      <rPr>
        <sz val="9"/>
        <rFont val="Arial"/>
        <family val="0"/>
        <charset val="1"/>
      </rPr>
      <t xml:space="preserve">UHT: 135~140℃, 2~4</t>
    </r>
    <r>
      <rPr>
        <sz val="9"/>
        <rFont val="Noto Sans CJK SC"/>
        <family val="2"/>
      </rPr>
      <t xml:space="preserve">초
레토르트</t>
    </r>
    <r>
      <rPr>
        <sz val="9"/>
        <rFont val="Arial"/>
        <family val="0"/>
        <charset val="1"/>
      </rPr>
      <t xml:space="preserve">: 121℃, 15~20</t>
    </r>
    <r>
      <rPr>
        <sz val="9"/>
        <rFont val="Noto Sans CJK SC"/>
        <family val="2"/>
      </rPr>
      <t xml:space="preserve">분</t>
    </r>
    <r>
      <rPr>
        <sz val="9"/>
        <rFont val="Arial"/>
        <family val="0"/>
        <charset val="1"/>
      </rPr>
      <t xml:space="preserve">(F₀≥4)</t>
    </r>
  </si>
  <si>
    <t xml:space="preserve">★ 온도기록계 연속기록</t>
  </si>
  <si>
    <t xml:space="preserve">★ 생물학적: 내열성 아포균(바실러스)</t>
  </si>
  <si>
    <r>
      <rPr>
        <sz val="9"/>
        <rFont val="Arial"/>
        <family val="0"/>
        <charset val="1"/>
      </rPr>
      <t xml:space="preserve">UHT: ≥135℃, ≥2</t>
    </r>
    <r>
      <rPr>
        <sz val="9"/>
        <rFont val="Noto Sans CJK SC"/>
        <family val="2"/>
      </rPr>
      <t xml:space="preserve">초
레토르트</t>
    </r>
    <r>
      <rPr>
        <sz val="9"/>
        <rFont val="Arial"/>
        <family val="0"/>
        <charset val="1"/>
      </rPr>
      <t xml:space="preserve">: F₀≥4</t>
    </r>
  </si>
  <si>
    <t xml:space="preserve">온도기록계+자동우회밸브</t>
  </si>
  <si>
    <t xml:space="preserve">미달시 재살균/자동우회, 해당배치 격리</t>
  </si>
  <si>
    <r>
      <rPr>
        <sz val="9"/>
        <rFont val="Arial"/>
        <family val="0"/>
        <charset val="1"/>
      </rPr>
      <t xml:space="preserve">8.</t>
    </r>
    <r>
      <rPr>
        <sz val="9"/>
        <rFont val="Noto Sans CJK SC"/>
        <family val="2"/>
      </rPr>
      <t xml:space="preserve">충전</t>
    </r>
  </si>
  <si>
    <t xml:space="preserve">무균충전/레토르트충전</t>
  </si>
  <si>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무균충전</t>
    </r>
    <r>
      <rPr>
        <sz val="9"/>
        <rFont val="Arial"/>
        <family val="0"/>
        <charset val="1"/>
      </rPr>
      <t xml:space="preserve">] UHT</t>
    </r>
    <r>
      <rPr>
        <sz val="9"/>
        <rFont val="Noto Sans CJK SC"/>
        <family val="2"/>
      </rPr>
      <t xml:space="preserve">후 무균환경 충전
</t>
    </r>
    <r>
      <rPr>
        <sz val="9"/>
        <rFont val="Arial"/>
        <family val="0"/>
        <charset val="1"/>
      </rPr>
      <t xml:space="preserve">[</t>
    </r>
    <r>
      <rPr>
        <sz val="9"/>
        <rFont val="Noto Sans CJK SC"/>
        <family val="2"/>
      </rPr>
      <t xml:space="preserve">레토르트</t>
    </r>
    <r>
      <rPr>
        <sz val="9"/>
        <rFont val="Arial"/>
        <family val="0"/>
        <charset val="1"/>
      </rPr>
      <t xml:space="preserve">] </t>
    </r>
    <r>
      <rPr>
        <sz val="9"/>
        <rFont val="Noto Sans CJK SC"/>
        <family val="2"/>
      </rPr>
      <t xml:space="preserve">충전→밀봉→레토르트살균</t>
    </r>
  </si>
  <si>
    <t xml:space="preserve">무균충전실 Class100, 양압</t>
  </si>
  <si>
    <t xml:space="preserve">밀봉검사, 충전량, 낙하균</t>
  </si>
  <si>
    <t xml:space="preserve">★ 생물학적: 재오염</t>
  </si>
  <si>
    <t xml:space="preserve">무균충전실 양압≥5Pa, 밀봉합격</t>
  </si>
  <si>
    <t xml:space="preserve">매시간 밀봉/충전량 검사</t>
  </si>
  <si>
    <t xml:space="preserve">라인정지, 재살균, 격리</t>
  </si>
  <si>
    <r>
      <rPr>
        <sz val="9"/>
        <rFont val="Arial"/>
        <family val="0"/>
        <charset val="1"/>
      </rPr>
      <t xml:space="preserve">9.</t>
    </r>
    <r>
      <rPr>
        <sz val="9"/>
        <rFont val="Noto Sans CJK SC"/>
        <family val="2"/>
      </rPr>
      <t xml:space="preserve">검사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출하</t>
    </r>
  </si>
  <si>
    <t xml:space="preserve">관능/이화학/미생물/이물/금속검출 검사</t>
  </si>
  <si>
    <t xml:space="preserve">대장균군 음성, 세균수 기준</t>
  </si>
  <si>
    <t xml:space="preserve">금속검출기 100%</t>
  </si>
  <si>
    <t xml:space="preserve">Fe≥1.5mm, SUS≥2.5mm</t>
  </si>
  <si>
    <r>
      <rPr>
        <sz val="9"/>
        <rFont val="Arial"/>
        <family val="0"/>
        <charset val="1"/>
      </rPr>
      <t xml:space="preserve">100% </t>
    </r>
    <r>
      <rPr>
        <sz val="9"/>
        <rFont val="Noto Sans CJK SC"/>
        <family val="2"/>
      </rPr>
      <t xml:space="preserve">금속검출기</t>
    </r>
  </si>
  <si>
    <t xml:space="preserve">격리, 전후 재검사</t>
  </si>
  <si>
    <t xml:space="preserve">원료 입고검사</t>
  </si>
  <si>
    <t xml:space="preserve">탈지분유/당류/유산균종균(스타터) 성적서 확인, 자체검사</t>
  </si>
  <si>
    <t xml:space="preserve">탈지분유: 수분&lt;5%, 유산균 종균: 활성 확인</t>
  </si>
  <si>
    <t xml:space="preserve">종균 활성시험(산생성능)</t>
  </si>
  <si>
    <t xml:space="preserve">생물학적: 종균오염, 파지(박테리오파지)</t>
  </si>
  <si>
    <t xml:space="preserve">입고시 성적서/활성 확인</t>
  </si>
  <si>
    <r>
      <rPr>
        <sz val="9"/>
        <rFont val="Arial"/>
        <family val="0"/>
        <charset val="1"/>
      </rPr>
      <t xml:space="preserve">2.</t>
    </r>
    <r>
      <rPr>
        <sz val="9"/>
        <rFont val="Noto Sans CJK SC"/>
        <family val="2"/>
      </rPr>
      <t xml:space="preserve">배지조제</t>
    </r>
  </si>
  <si>
    <t xml:space="preserve">발효용 배지 준비</t>
  </si>
  <si>
    <t xml:space="preserve">정제수+탈지분유(10~12%)+포도당(2%) 혼합 → 65℃ 가온용해 → 균질(100bar)</t>
  </si>
  <si>
    <t xml:space="preserve">탈지분유 10~12%, Brix 15~18</t>
  </si>
  <si>
    <t xml:space="preserve">완전 용해 확인</t>
  </si>
  <si>
    <t xml:space="preserve">물리적: 미용해</t>
  </si>
  <si>
    <t xml:space="preserve">용해상태, Brix</t>
  </si>
  <si>
    <t xml:space="preserve">재교반, 가온</t>
  </si>
  <si>
    <r>
      <rPr>
        <sz val="9"/>
        <rFont val="Arial"/>
        <family val="0"/>
        <charset val="1"/>
      </rPr>
      <t xml:space="preserve">3.</t>
    </r>
    <r>
      <rPr>
        <sz val="9"/>
        <rFont val="Noto Sans CJK SC"/>
        <family val="2"/>
      </rPr>
      <t xml:space="preserve">배지살균</t>
    </r>
  </si>
  <si>
    <t xml:space="preserve">발효배지 살균</t>
  </si>
  <si>
    <r>
      <rPr>
        <sz val="9"/>
        <rFont val="Arial"/>
        <family val="0"/>
        <charset val="1"/>
      </rPr>
      <t xml:space="preserve">95℃ 10</t>
    </r>
    <r>
      <rPr>
        <sz val="9"/>
        <rFont val="Noto Sans CJK SC"/>
        <family val="2"/>
      </rPr>
      <t xml:space="preserve">분 또는 </t>
    </r>
    <r>
      <rPr>
        <sz val="9"/>
        <rFont val="Arial"/>
        <family val="0"/>
        <charset val="1"/>
      </rPr>
      <t xml:space="preserve">121℃ 15</t>
    </r>
    <r>
      <rPr>
        <sz val="9"/>
        <rFont val="Noto Sans CJK SC"/>
        <family val="2"/>
      </rPr>
      <t xml:space="preserve">분 살균 → </t>
    </r>
    <r>
      <rPr>
        <sz val="9"/>
        <rFont val="Arial"/>
        <family val="0"/>
        <charset val="1"/>
      </rPr>
      <t xml:space="preserve">42℃</t>
    </r>
    <r>
      <rPr>
        <sz val="9"/>
        <rFont val="Noto Sans CJK SC"/>
        <family val="2"/>
      </rPr>
      <t xml:space="preserve">로 냉각</t>
    </r>
  </si>
  <si>
    <r>
      <rPr>
        <sz val="9"/>
        <rFont val="Arial"/>
        <family val="0"/>
        <charset val="1"/>
      </rPr>
      <t xml:space="preserve">95℃/10</t>
    </r>
    <r>
      <rPr>
        <sz val="9"/>
        <rFont val="Noto Sans CJK SC"/>
        <family val="2"/>
      </rPr>
      <t xml:space="preserve">분 또는 </t>
    </r>
    <r>
      <rPr>
        <sz val="9"/>
        <rFont val="Arial"/>
        <family val="0"/>
        <charset val="1"/>
      </rPr>
      <t xml:space="preserve">121℃/15</t>
    </r>
    <r>
      <rPr>
        <sz val="9"/>
        <rFont val="Noto Sans CJK SC"/>
        <family val="2"/>
      </rPr>
      <t xml:space="preserve">분</t>
    </r>
  </si>
  <si>
    <t xml:space="preserve">★ 살균온도/시간 기록</t>
  </si>
  <si>
    <t xml:space="preserve">★ 생물학적: 잡균(배지오염)</t>
  </si>
  <si>
    <t xml:space="preserve">배지살균 ≥95℃ ≥10분</t>
  </si>
  <si>
    <t xml:space="preserve">재살균, 배지 폐기</t>
  </si>
  <si>
    <r>
      <rPr>
        <sz val="9"/>
        <rFont val="Arial"/>
        <family val="0"/>
        <charset val="1"/>
      </rPr>
      <t xml:space="preserve">4.</t>
    </r>
    <r>
      <rPr>
        <sz val="9"/>
        <rFont val="Noto Sans CJK SC"/>
        <family val="2"/>
      </rPr>
      <t xml:space="preserve">접종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발효</t>
    </r>
  </si>
  <si>
    <t xml:space="preserve">유산균 접종 및 발효</t>
  </si>
  <si>
    <t xml:space="preserve">냉각된 배지에 스타터 접종(2~3% v/v) → 37℃ 배양기에서 12~18시간 발효 → pH 3.8~4.2 도달시 발효 종료</t>
  </si>
  <si>
    <t xml:space="preserve">접종량 2~3%, 발효온도 37℃, 시간 12~18hr, 종료pH 3.8~4.2</t>
  </si>
  <si>
    <r>
      <rPr>
        <sz val="9"/>
        <rFont val="Arial"/>
        <family val="0"/>
        <charset val="1"/>
      </rPr>
      <t xml:space="preserve">pH </t>
    </r>
    <r>
      <rPr>
        <sz val="9"/>
        <rFont val="Noto Sans CJK SC"/>
        <family val="2"/>
      </rPr>
      <t xml:space="preserve">연속모니터링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산생성곡선 확인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균수 확인</t>
    </r>
    <r>
      <rPr>
        <sz val="9"/>
        <rFont val="Arial"/>
        <family val="0"/>
        <charset val="1"/>
      </rPr>
      <t xml:space="preserve">(≥10⁸CFU/ml)</t>
    </r>
  </si>
  <si>
    <t xml:space="preserve">생물학적: 파지감염, 잡균오염</t>
  </si>
  <si>
    <t xml:space="preserve">발효 중 pH/온도 연속기록</t>
  </si>
  <si>
    <t xml:space="preserve">파지오염시 배지/환경 전면교체</t>
  </si>
  <si>
    <r>
      <rPr>
        <sz val="9"/>
        <rFont val="Arial"/>
        <family val="0"/>
        <charset val="1"/>
      </rPr>
      <t xml:space="preserve">5.</t>
    </r>
    <r>
      <rPr>
        <sz val="9"/>
        <rFont val="Noto Sans CJK SC"/>
        <family val="2"/>
      </rPr>
      <t xml:space="preserve">발효액냉각</t>
    </r>
  </si>
  <si>
    <t xml:space="preserve">발효 종료 후 냉각</t>
  </si>
  <si>
    <t xml:space="preserve">발효 완료(pH도달) 후 냉각수로 10℃ 이하 급속냉각하여 발효 정지</t>
  </si>
  <si>
    <r>
      <rPr>
        <sz val="9"/>
        <rFont val="Arial"/>
        <family val="0"/>
        <charset val="1"/>
      </rPr>
      <t xml:space="preserve">10℃ </t>
    </r>
    <r>
      <rPr>
        <sz val="9"/>
        <rFont val="Noto Sans CJK SC"/>
        <family val="2"/>
      </rPr>
      <t xml:space="preserve">이하</t>
    </r>
  </si>
  <si>
    <r>
      <rPr>
        <sz val="9"/>
        <rFont val="Arial"/>
        <family val="0"/>
        <charset val="1"/>
      </rPr>
      <t xml:space="preserve">pH </t>
    </r>
    <r>
      <rPr>
        <sz val="9"/>
        <rFont val="Noto Sans CJK SC"/>
        <family val="2"/>
      </rPr>
      <t xml:space="preserve">최종확인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균수 확인</t>
    </r>
  </si>
  <si>
    <t xml:space="preserve">생물학적: 과발효</t>
  </si>
  <si>
    <t xml:space="preserve">냉각 후 pH/온도 기록</t>
  </si>
  <si>
    <t xml:space="preserve">추가 냉각</t>
  </si>
  <si>
    <r>
      <rPr>
        <sz val="9"/>
        <rFont val="Arial"/>
        <family val="0"/>
        <charset val="1"/>
      </rPr>
      <t xml:space="preserve">6.</t>
    </r>
    <r>
      <rPr>
        <sz val="9"/>
        <rFont val="Noto Sans CJK SC"/>
        <family val="2"/>
      </rPr>
      <t xml:space="preserve">배합</t>
    </r>
  </si>
  <si>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차 배합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희석</t>
    </r>
    <r>
      <rPr>
        <sz val="9"/>
        <rFont val="Arial"/>
        <family val="0"/>
        <charset val="1"/>
      </rPr>
      <t xml:space="preserve">)</t>
    </r>
  </si>
  <si>
    <t xml:space="preserve">발효액 + 정제수 + 당류(설탕/올리고당) + 향료를 배합표에 따라 투입 교반</t>
  </si>
  <si>
    <t xml:space="preserve">발효액 비율 관리, 목표 Brix</t>
  </si>
  <si>
    <t xml:space="preserve">균수 희석비 계산, Brix/pH 확인</t>
  </si>
  <si>
    <t xml:space="preserve">화학적: 당도 이탈</t>
  </si>
  <si>
    <t xml:space="preserve">매배치 Brix/pH</t>
  </si>
  <si>
    <t xml:space="preserve">재조정</t>
  </si>
  <si>
    <r>
      <rPr>
        <sz val="9"/>
        <rFont val="Arial"/>
        <family val="0"/>
        <charset val="1"/>
      </rPr>
      <t xml:space="preserve">7.</t>
    </r>
    <r>
      <rPr>
        <sz val="9"/>
        <rFont val="Noto Sans CJK SC"/>
        <family val="2"/>
      </rPr>
      <t xml:space="preserve">균질화</t>
    </r>
  </si>
  <si>
    <t xml:space="preserve">균질처리</t>
  </si>
  <si>
    <r>
      <rPr>
        <sz val="9"/>
        <rFont val="Arial"/>
        <family val="0"/>
        <charset val="1"/>
      </rPr>
      <t xml:space="preserve">100~150bar</t>
    </r>
    <r>
      <rPr>
        <sz val="9"/>
        <rFont val="Noto Sans CJK SC"/>
        <family val="2"/>
      </rPr>
      <t xml:space="preserve">에서 균질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조직 균일화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입자 미세화</t>
    </r>
  </si>
  <si>
    <t xml:space="preserve">100~150bar</t>
  </si>
  <si>
    <t xml:space="preserve">균질 후 조직감 관능확인</t>
  </si>
  <si>
    <t xml:space="preserve">물리적: 입자분리</t>
  </si>
  <si>
    <t xml:space="preserve">균질압력 기록</t>
  </si>
  <si>
    <r>
      <rPr>
        <sz val="9"/>
        <rFont val="Arial"/>
        <family val="0"/>
        <charset val="1"/>
      </rPr>
      <t xml:space="preserve">8.</t>
    </r>
    <r>
      <rPr>
        <sz val="9"/>
        <rFont val="Noto Sans CJK SC"/>
        <family val="2"/>
      </rPr>
      <t xml:space="preserve">충전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냉장</t>
    </r>
    <r>
      <rPr>
        <sz val="9"/>
        <rFont val="Arial"/>
        <family val="0"/>
        <charset val="1"/>
      </rPr>
      <t xml:space="preserve">)</t>
    </r>
  </si>
  <si>
    <t xml:space="preserve">냉장상태 충전</t>
  </si>
  <si>
    <t xml:space="preserve">★ 비살균 상태로 10℃ 이하 냉장환경에서 충전. Clean room(Class10000)에서 작업</t>
  </si>
  <si>
    <t xml:space="preserve">충전온도 ≤10℃, 충전실 온도 ≤15℃</t>
  </si>
  <si>
    <t xml:space="preserve">★ 충전 중 온도관리가 핵심, 밀봉검사</t>
  </si>
  <si>
    <t xml:space="preserve">★ 생물학적: 충전 중 오염(비살균이므로 콜드체인 필수)</t>
  </si>
  <si>
    <t xml:space="preserve">충전온도 ≤10℃, 밀봉합격, 충전실 청정도</t>
  </si>
  <si>
    <t xml:space="preserve">충전 온도/밀봉 매시간 확인</t>
  </si>
  <si>
    <t xml:space="preserve">온도초과시 라인정지, 해당LOT 검사강화</t>
  </si>
  <si>
    <r>
      <rPr>
        <sz val="9"/>
        <rFont val="Arial"/>
        <family val="0"/>
        <charset val="1"/>
      </rPr>
      <t xml:space="preserve">9.</t>
    </r>
    <r>
      <rPr>
        <sz val="9"/>
        <rFont val="Noto Sans CJK SC"/>
        <family val="2"/>
      </rPr>
      <t xml:space="preserve">검사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콜드체인</t>
    </r>
  </si>
  <si>
    <t xml:space="preserve">완제품 검사 및 냉장유통</t>
  </si>
  <si>
    <t xml:space="preserve">유산균수(≥10⁷CFU/ml), 대장균군 음성, pH, Brix 확인. 금속검출기 100%. 냉장 0~10℃ 유통</t>
  </si>
  <si>
    <t xml:space="preserve">유산균수 ≥10⁷/ml, 냉장 0~10℃</t>
  </si>
  <si>
    <t xml:space="preserve">콜드체인 온도 연속기록(로거)</t>
  </si>
  <si>
    <t xml:space="preserve">★ 물리적: 금속이물
생물학적: 콜드체인 이탈→균수감소</t>
  </si>
  <si>
    <t xml:space="preserve">금속검출 Fe≥1.5mm, 냉장 ≤10℃</t>
  </si>
  <si>
    <t xml:space="preserve">금속검출기 100%, 유통온도 로거</t>
  </si>
  <si>
    <t xml:space="preserve">이물 격리, 콜드체인 이탈시 폐기판정</t>
  </si>
  <si>
    <t xml:space="preserve">곤약분말/과즙/당류/젤란검/산미료 성적서 확인</t>
  </si>
  <si>
    <t xml:space="preserve">각 규격 내</t>
  </si>
  <si>
    <t xml:space="preserve">성적서 확인</t>
  </si>
  <si>
    <t xml:space="preserve">생물학적: 미생물</t>
  </si>
  <si>
    <t xml:space="preserve">입고시</t>
  </si>
  <si>
    <t xml:space="preserve">반품</t>
  </si>
  <si>
    <r>
      <rPr>
        <sz val="9"/>
        <rFont val="Arial"/>
        <family val="0"/>
        <charset val="1"/>
      </rPr>
      <t xml:space="preserve">2.</t>
    </r>
    <r>
      <rPr>
        <sz val="9"/>
        <rFont val="Noto Sans CJK SC"/>
        <family val="2"/>
      </rPr>
      <t xml:space="preserve">곤약겔 용해</t>
    </r>
  </si>
  <si>
    <t xml:space="preserve">곤약분말 용해</t>
  </si>
  <si>
    <t xml:space="preserve">정제수(80℃)에 곤약분말 서서히 투입하면서 고속교반(500rpm) → 15분간 완전팽윤/용해</t>
  </si>
  <si>
    <t xml:space="preserve">수온 80℃, 곤약 2%, 교반 500rpm</t>
  </si>
  <si>
    <t xml:space="preserve">곤약 완전 용해 확인(투명겔)</t>
  </si>
  <si>
    <t xml:space="preserve">물리적: 미용해 덩어리</t>
  </si>
  <si>
    <t xml:space="preserve">용해상태 관능확인</t>
  </si>
  <si>
    <t xml:space="preserve">재가열/교반</t>
  </si>
  <si>
    <r>
      <rPr>
        <sz val="9"/>
        <rFont val="Arial"/>
        <family val="0"/>
        <charset val="1"/>
      </rPr>
      <t xml:space="preserve">3.</t>
    </r>
    <r>
      <rPr>
        <sz val="9"/>
        <rFont val="Noto Sans CJK SC"/>
        <family val="2"/>
      </rPr>
      <t xml:space="preserve">배합</t>
    </r>
  </si>
  <si>
    <t xml:space="preserve">겔베이스+과즙+당류</t>
  </si>
  <si>
    <t xml:space="preserve">곤약겔 용액에 당류(설탕/포도당) 투입 → 교반 → 과즙 투입 → 젤란검 투입 → 산미료/향료 투입</t>
  </si>
  <si>
    <t xml:space="preserve">Brix 12~15°, pH 3.5~4.5</t>
  </si>
  <si>
    <r>
      <rPr>
        <sz val="9"/>
        <rFont val="Arial"/>
        <family val="0"/>
        <charset val="1"/>
      </rPr>
      <t xml:space="preserve">Brix/pH </t>
    </r>
    <r>
      <rPr>
        <sz val="9"/>
        <rFont val="Noto Sans CJK SC"/>
        <family val="2"/>
      </rPr>
      <t xml:space="preserve">확인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겔강도 예비 확인</t>
    </r>
  </si>
  <si>
    <t xml:space="preserve">화학적: pH이탈→겔화불량</t>
  </si>
  <si>
    <r>
      <rPr>
        <sz val="9"/>
        <rFont val="Arial"/>
        <family val="0"/>
        <charset val="1"/>
      </rPr>
      <t xml:space="preserve">Brix/pH </t>
    </r>
    <r>
      <rPr>
        <sz val="9"/>
        <rFont val="Noto Sans CJK SC"/>
        <family val="2"/>
      </rPr>
      <t xml:space="preserve">기록</t>
    </r>
  </si>
  <si>
    <r>
      <rPr>
        <sz val="9"/>
        <rFont val="Arial"/>
        <family val="0"/>
        <charset val="1"/>
      </rPr>
      <t xml:space="preserve">4.</t>
    </r>
    <r>
      <rPr>
        <sz val="9"/>
        <rFont val="Noto Sans CJK SC"/>
        <family val="2"/>
      </rPr>
      <t xml:space="preserve">살균</t>
    </r>
  </si>
  <si>
    <t xml:space="preserve">열처리 살균</t>
  </si>
  <si>
    <r>
      <rPr>
        <sz val="9"/>
        <rFont val="Arial"/>
        <family val="0"/>
        <charset val="1"/>
      </rPr>
      <t xml:space="preserve">90~95℃</t>
    </r>
    <r>
      <rPr>
        <sz val="9"/>
        <rFont val="Noto Sans CJK SC"/>
        <family val="2"/>
      </rPr>
      <t xml:space="preserve">에서 </t>
    </r>
    <r>
      <rPr>
        <sz val="9"/>
        <rFont val="Arial"/>
        <family val="0"/>
        <charset val="1"/>
      </rPr>
      <t xml:space="preserve">10~15</t>
    </r>
    <r>
      <rPr>
        <sz val="9"/>
        <rFont val="Noto Sans CJK SC"/>
        <family val="2"/>
      </rPr>
      <t xml:space="preserve">분 살균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고온에서 겔화제가 용해 상태 유지</t>
    </r>
  </si>
  <si>
    <r>
      <rPr>
        <sz val="9"/>
        <rFont val="Arial"/>
        <family val="0"/>
        <charset val="1"/>
      </rPr>
      <t xml:space="preserve">90~95℃, 10~15</t>
    </r>
    <r>
      <rPr>
        <sz val="9"/>
        <rFont val="Noto Sans CJK SC"/>
        <family val="2"/>
      </rPr>
      <t xml:space="preserve">분</t>
    </r>
  </si>
  <si>
    <t xml:space="preserve">★ 온도/시간 기록, 겔화제 용해상태</t>
  </si>
  <si>
    <t xml:space="preserve">★ 생물학적: 내열성균</t>
  </si>
  <si>
    <r>
      <rPr>
        <sz val="9"/>
        <rFont val="Arial"/>
        <family val="0"/>
        <charset val="1"/>
      </rPr>
      <t xml:space="preserve">≥90℃, ≥10</t>
    </r>
    <r>
      <rPr>
        <sz val="9"/>
        <rFont val="Noto Sans CJK SC"/>
        <family val="2"/>
      </rPr>
      <t xml:space="preserve">분</t>
    </r>
  </si>
  <si>
    <t xml:space="preserve">온도기록계</t>
  </si>
  <si>
    <t xml:space="preserve">미달시 재살균</t>
  </si>
  <si>
    <r>
      <rPr>
        <sz val="9"/>
        <rFont val="Arial"/>
        <family val="0"/>
        <charset val="1"/>
      </rPr>
      <t xml:space="preserve">5.</t>
    </r>
    <r>
      <rPr>
        <sz val="9"/>
        <rFont val="Noto Sans CJK SC"/>
        <family val="2"/>
      </rPr>
      <t xml:space="preserve">충전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겔화</t>
    </r>
  </si>
  <si>
    <t xml:space="preserve">고온충전 → 냉각겔화</t>
  </si>
  <si>
    <r>
      <rPr>
        <sz val="9"/>
        <rFont val="Arial"/>
        <family val="0"/>
        <charset val="1"/>
      </rPr>
      <t xml:space="preserve">85~90℃ </t>
    </r>
    <r>
      <rPr>
        <sz val="9"/>
        <rFont val="Noto Sans CJK SC"/>
        <family val="2"/>
      </rPr>
      <t xml:space="preserve">상태에서 파우치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컵에 충전 → 밀봉 → 냉각터널 통과</t>
    </r>
    <r>
      <rPr>
        <sz val="9"/>
        <rFont val="Arial"/>
        <family val="0"/>
        <charset val="1"/>
      </rPr>
      <t xml:space="preserve">(20~25℃) → </t>
    </r>
    <r>
      <rPr>
        <sz val="9"/>
        <rFont val="Noto Sans CJK SC"/>
        <family val="2"/>
      </rPr>
      <t xml:space="preserve">겔화 진행</t>
    </r>
  </si>
  <si>
    <t xml:space="preserve">충전온도 ≥85℃, 냉각 후 25℃</t>
  </si>
  <si>
    <t xml:space="preserve">★ 밀봉검사, 겔강도(텍스처분석기)</t>
  </si>
  <si>
    <t xml:space="preserve">★ 생물학적: 충전 중 오염
물리적: 밀봉불량</t>
  </si>
  <si>
    <t xml:space="preserve">충전온도 ≥85℃, 밀봉합격</t>
  </si>
  <si>
    <t xml:space="preserve">충전온도/밀봉 매시간 확인</t>
  </si>
  <si>
    <t xml:space="preserve">불량 격리, 라인점검</t>
  </si>
  <si>
    <r>
      <rPr>
        <sz val="9"/>
        <rFont val="Arial"/>
        <family val="0"/>
        <charset val="1"/>
      </rPr>
      <t xml:space="preserve">6.</t>
    </r>
    <r>
      <rPr>
        <sz val="9"/>
        <rFont val="Noto Sans CJK SC"/>
        <family val="2"/>
      </rPr>
      <t xml:space="preserve">검사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출하</t>
    </r>
  </si>
  <si>
    <t xml:space="preserve">겔강도/Brix/pH/미생물/이물(금속검출기) 검사</t>
  </si>
  <si>
    <t xml:space="preserve">겔강도 규격, 세균수 기준</t>
  </si>
  <si>
    <t xml:space="preserve">★ 금속검출기 100%</t>
  </si>
  <si>
    <t xml:space="preserve">음료 배합비 시뮬레이터 (Formulation Simulator)</t>
  </si>
  <si>
    <t xml:space="preserve">▶ 음료유형+맛 선택 → 가이드배합비 참조 → 배합비 입력(100%기준) → 규격판정 자동확인</t>
  </si>
  <si>
    <t xml:space="preserve">날짜</t>
  </si>
  <si>
    <t xml:space="preserve">2026.  .  .</t>
  </si>
  <si>
    <t xml:space="preserve">사과과채음료_시제1호</t>
  </si>
  <si>
    <t xml:space="preserve">목표용량(ml)</t>
  </si>
  <si>
    <t xml:space="preserve">맛(Flavor)</t>
  </si>
  <si>
    <t xml:space="preserve">사과</t>
  </si>
  <si>
    <t xml:space="preserve">직접입력▶</t>
  </si>
  <si>
    <t xml:space="preserve">규격▶</t>
  </si>
  <si>
    <t xml:space="preserve">품질목표</t>
  </si>
  <si>
    <t xml:space="preserve">감미도</t>
  </si>
  <si>
    <t xml:space="preserve">단가(원/kg)</t>
  </si>
  <si>
    <r>
      <rPr>
        <i val="true"/>
        <sz val="8"/>
        <color rgb="FF808080"/>
        <rFont val="Noto Sans CJK SC"/>
        <family val="2"/>
      </rPr>
      <t xml:space="preserve">직접입력</t>
    </r>
    <r>
      <rPr>
        <i val="true"/>
        <sz val="8"/>
        <color rgb="FF808080"/>
        <rFont val="맑은 고딕"/>
        <family val="0"/>
        <charset val="1"/>
      </rPr>
      <t xml:space="preserve">(F4) </t>
    </r>
    <r>
      <rPr>
        <i val="true"/>
        <sz val="8"/>
        <color rgb="FF808080"/>
        <rFont val="Noto Sans CJK SC"/>
        <family val="2"/>
      </rPr>
      <t xml:space="preserve">우선적용 </t>
    </r>
    <r>
      <rPr>
        <i val="true"/>
        <sz val="8"/>
        <color rgb="FF808080"/>
        <rFont val="맑은 고딕"/>
        <family val="0"/>
        <charset val="1"/>
      </rPr>
      <t xml:space="preserve">| 🟢</t>
    </r>
    <r>
      <rPr>
        <i val="true"/>
        <sz val="8"/>
        <color rgb="FF808080"/>
        <rFont val="Noto Sans CJK SC"/>
        <family val="2"/>
      </rPr>
      <t xml:space="preserve">초록</t>
    </r>
    <r>
      <rPr>
        <i val="true"/>
        <sz val="8"/>
        <color rgb="FF808080"/>
        <rFont val="맑은 고딕"/>
        <family val="0"/>
        <charset val="1"/>
      </rPr>
      <t xml:space="preserve">=</t>
    </r>
    <r>
      <rPr>
        <i val="true"/>
        <sz val="8"/>
        <color rgb="FF808080"/>
        <rFont val="Noto Sans CJK SC"/>
        <family val="2"/>
      </rPr>
      <t xml:space="preserve">가이드</t>
    </r>
    <r>
      <rPr>
        <i val="true"/>
        <sz val="8"/>
        <color rgb="FF808080"/>
        <rFont val="맑은 고딕"/>
        <family val="0"/>
        <charset val="1"/>
      </rPr>
      <t xml:space="preserve">DB </t>
    </r>
    <r>
      <rPr>
        <i val="true"/>
        <sz val="8"/>
        <color rgb="FF808080"/>
        <rFont val="Noto Sans CJK SC"/>
        <family val="2"/>
      </rPr>
      <t xml:space="preserve">매칭됨 </t>
    </r>
    <r>
      <rPr>
        <i val="true"/>
        <sz val="8"/>
        <color rgb="FF808080"/>
        <rFont val="맑은 고딕"/>
        <family val="0"/>
        <charset val="1"/>
      </rPr>
      <t xml:space="preserve">| 🟡</t>
    </r>
    <r>
      <rPr>
        <i val="true"/>
        <sz val="8"/>
        <color rgb="FF808080"/>
        <rFont val="Noto Sans CJK SC"/>
        <family val="2"/>
      </rPr>
      <t xml:space="preserve">노랑</t>
    </r>
    <r>
      <rPr>
        <i val="true"/>
        <sz val="8"/>
        <color rgb="FF808080"/>
        <rFont val="맑은 고딕"/>
        <family val="0"/>
        <charset val="1"/>
      </rPr>
      <t xml:space="preserve">=</t>
    </r>
    <r>
      <rPr>
        <i val="true"/>
        <sz val="8"/>
        <color rgb="FF808080"/>
        <rFont val="Noto Sans CJK SC"/>
        <family val="2"/>
      </rPr>
      <t xml:space="preserve">직접입력</t>
    </r>
    <r>
      <rPr>
        <i val="true"/>
        <sz val="8"/>
        <color rgb="FF808080"/>
        <rFont val="맑은 고딕"/>
        <family val="0"/>
        <charset val="1"/>
      </rPr>
      <t xml:space="preserve">(</t>
    </r>
    <r>
      <rPr>
        <i val="true"/>
        <sz val="8"/>
        <color rgb="FF808080"/>
        <rFont val="Noto Sans CJK SC"/>
        <family val="2"/>
      </rPr>
      <t xml:space="preserve">미매칭</t>
    </r>
    <r>
      <rPr>
        <i val="true"/>
        <sz val="8"/>
        <color rgb="FF808080"/>
        <rFont val="맑은 고딕"/>
        <family val="0"/>
        <charset val="1"/>
      </rPr>
      <t xml:space="preserve">)</t>
    </r>
  </si>
  <si>
    <t xml:space="preserve">구분</t>
  </si>
  <si>
    <t xml:space="preserve">원료명
(드롭다운)</t>
  </si>
  <si>
    <t xml:space="preserve">배합비
(%)</t>
  </si>
  <si>
    <r>
      <rPr>
        <b val="true"/>
        <sz val="10"/>
        <color rgb="FFFFFFFF"/>
        <rFont val="맑은 고딕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추천
원료명</t>
    </r>
  </si>
  <si>
    <t xml:space="preserve">AI
(%)</t>
  </si>
  <si>
    <t xml:space="preserve">실제사례
원료명</t>
  </si>
  <si>
    <t xml:space="preserve">사례
(%)</t>
  </si>
  <si>
    <t xml:space="preserve">당도
(Bx)</t>
  </si>
  <si>
    <t xml:space="preserve">산도
(%)</t>
  </si>
  <si>
    <t xml:space="preserve">기능1</t>
  </si>
  <si>
    <t xml:space="preserve">기능2</t>
  </si>
  <si>
    <t xml:space="preserve">단가
(원/kg)</t>
  </si>
  <si>
    <t xml:space="preserve">당기여</t>
  </si>
  <si>
    <t xml:space="preserve">산기여</t>
  </si>
  <si>
    <t xml:space="preserve">감미기여</t>
  </si>
  <si>
    <t xml:space="preserve">단가기여
(원/kg)</t>
  </si>
  <si>
    <t xml:space="preserve">배합량
(g/kg)</t>
  </si>
  <si>
    <t xml:space="preserve">원재료</t>
  </si>
  <si>
    <t xml:space="preserve">당류/
감미료</t>
  </si>
  <si>
    <t xml:space="preserve">안정제/
호료</t>
  </si>
  <si>
    <t xml:space="preserve">기타
자재</t>
  </si>
  <si>
    <t xml:space="preserve">합    계</t>
  </si>
  <si>
    <t xml:space="preserve">원재료함량</t>
  </si>
  <si>
    <t xml:space="preserve">농축율</t>
  </si>
  <si>
    <t xml:space="preserve">▶ 시뮬레이션 결과 요약</t>
  </si>
  <si>
    <t xml:space="preserve">배합비 합계(%)</t>
  </si>
  <si>
    <t xml:space="preserve">예상 당도(Bx)</t>
  </si>
  <si>
    <t xml:space="preserve">예상 산도(%)</t>
  </si>
  <si>
    <t xml:space="preserve">예상 감미도</t>
  </si>
  <si>
    <t xml:space="preserve">원재료비(원/kg)</t>
  </si>
  <si>
    <t xml:space="preserve">원재료비(원/병)</t>
  </si>
  <si>
    <t xml:space="preserve">원료 사용 종류(개)</t>
  </si>
  <si>
    <t xml:space="preserve">정제수 비율(%)</t>
  </si>
  <si>
    <r>
      <rPr>
        <b val="true"/>
        <sz val="10"/>
        <rFont val="맑은 고딕"/>
        <family val="0"/>
        <charset val="1"/>
      </rPr>
      <t xml:space="preserve">pH </t>
    </r>
    <r>
      <rPr>
        <b val="true"/>
        <sz val="10"/>
        <rFont val="Noto Sans CJK SC"/>
        <family val="2"/>
      </rPr>
      <t xml:space="preserve">규격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)</t>
    </r>
  </si>
  <si>
    <t xml:space="preserve">원재료함량 vs 과즙기준</t>
  </si>
  <si>
    <t xml:space="preserve">▶ 사용방법</t>
  </si>
  <si>
    <r>
      <rPr>
        <sz val="9"/>
        <rFont val="맑은 고딕"/>
        <family val="0"/>
        <charset val="1"/>
      </rPr>
      <t xml:space="preserve">1. </t>
    </r>
    <r>
      <rPr>
        <sz val="9"/>
        <rFont val="Noto Sans CJK SC"/>
        <family val="2"/>
      </rPr>
      <t xml:space="preserve">음료유형</t>
    </r>
    <r>
      <rPr>
        <sz val="9"/>
        <rFont val="맑은 고딕"/>
        <family val="0"/>
        <charset val="1"/>
      </rPr>
      <t xml:space="preserve">(B4)+</t>
    </r>
    <r>
      <rPr>
        <sz val="9"/>
        <rFont val="Noto Sans CJK SC"/>
        <family val="2"/>
      </rPr>
      <t xml:space="preserve">맛</t>
    </r>
    <r>
      <rPr>
        <sz val="9"/>
        <rFont val="맑은 고딕"/>
        <family val="0"/>
        <charset val="1"/>
      </rPr>
      <t xml:space="preserve">(D4) </t>
    </r>
    <r>
      <rPr>
        <sz val="9"/>
        <rFont val="Noto Sans CJK SC"/>
        <family val="2"/>
      </rPr>
      <t xml:space="preserve">드롭다운 선택 → 가이드</t>
    </r>
    <r>
      <rPr>
        <sz val="9"/>
        <rFont val="맑은 고딕"/>
        <family val="0"/>
        <charset val="1"/>
      </rPr>
      <t xml:space="preserve">DB</t>
    </r>
    <r>
      <rPr>
        <sz val="9"/>
        <rFont val="Noto Sans CJK SC"/>
        <family val="2"/>
      </rPr>
      <t xml:space="preserve">에 있으면 셀이 🟢초록색으로 변합니다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</si>
  <si>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2. </t>
    </r>
    <r>
      <rPr>
        <sz val="9"/>
        <rFont val="Noto Sans CJK SC"/>
        <family val="2"/>
      </rPr>
      <t xml:space="preserve">드롭다운에 없는 맛은 </t>
    </r>
    <r>
      <rPr>
        <sz val="9"/>
        <rFont val="맑은 고딕"/>
        <family val="0"/>
        <charset val="1"/>
      </rPr>
      <t xml:space="preserve">F4(</t>
    </r>
    <r>
      <rPr>
        <sz val="9"/>
        <rFont val="Noto Sans CJK SC"/>
        <family val="2"/>
      </rPr>
      <t xml:space="preserve">직접입력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에 자유입력하세요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직접입력이 드롭다운보다 우선 적용됩니다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</si>
  <si>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3. E~F</t>
    </r>
    <r>
      <rPr>
        <sz val="9"/>
        <rFont val="Noto Sans CJK SC"/>
        <family val="2"/>
      </rPr>
      <t xml:space="preserve">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보라</t>
    </r>
    <r>
      <rPr>
        <sz val="9"/>
        <rFont val="맑은 고딕"/>
        <family val="0"/>
        <charset val="1"/>
      </rPr>
      <t xml:space="preserve">/AI</t>
    </r>
    <r>
      <rPr>
        <sz val="9"/>
        <rFont val="Noto Sans CJK SC"/>
        <family val="2"/>
      </rPr>
      <t xml:space="preserve">추천</t>
    </r>
    <r>
      <rPr>
        <sz val="9"/>
        <rFont val="맑은 고딕"/>
        <family val="0"/>
        <charset val="1"/>
      </rPr>
      <t xml:space="preserve">), G~H</t>
    </r>
    <r>
      <rPr>
        <sz val="9"/>
        <rFont val="Noto Sans CJK SC"/>
        <family val="2"/>
      </rPr>
      <t xml:space="preserve">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연두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실제사례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를 참고하여 </t>
    </r>
    <r>
      <rPr>
        <sz val="9"/>
        <rFont val="맑은 고딕"/>
        <family val="0"/>
        <charset val="1"/>
      </rPr>
      <t xml:space="preserve">C</t>
    </r>
    <r>
      <rPr>
        <sz val="9"/>
        <rFont val="Noto Sans CJK SC"/>
        <family val="2"/>
      </rPr>
      <t xml:space="preserve">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원료명</t>
    </r>
    <r>
      <rPr>
        <sz val="9"/>
        <rFont val="맑은 고딕"/>
        <family val="0"/>
        <charset val="1"/>
      </rPr>
      <t xml:space="preserve">)+D</t>
    </r>
    <r>
      <rPr>
        <sz val="9"/>
        <rFont val="Noto Sans CJK SC"/>
        <family val="2"/>
      </rPr>
      <t xml:space="preserve">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배합비</t>
    </r>
    <r>
      <rPr>
        <sz val="9"/>
        <rFont val="맑은 고딕"/>
        <family val="0"/>
        <charset val="1"/>
      </rPr>
      <t xml:space="preserve">%)</t>
    </r>
    <r>
      <rPr>
        <sz val="9"/>
        <rFont val="Noto Sans CJK SC"/>
        <family val="2"/>
      </rPr>
      <t xml:space="preserve">을 입력합니다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</si>
  <si>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4. </t>
    </r>
    <r>
      <rPr>
        <sz val="9"/>
        <rFont val="Noto Sans CJK SC"/>
        <family val="2"/>
      </rPr>
      <t xml:space="preserve">배합비는 </t>
    </r>
    <r>
      <rPr>
        <sz val="9"/>
        <rFont val="맑은 고딕"/>
        <family val="0"/>
        <charset val="1"/>
      </rPr>
      <t xml:space="preserve">100%</t>
    </r>
    <r>
      <rPr>
        <sz val="9"/>
        <rFont val="Noto Sans CJK SC"/>
        <family val="2"/>
      </rPr>
      <t xml:space="preserve">기준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정제수</t>
    </r>
    <r>
      <rPr>
        <sz val="9"/>
        <rFont val="맑은 고딕"/>
        <family val="0"/>
        <charset val="1"/>
      </rPr>
      <t xml:space="preserve">(row26)=[100%-</t>
    </r>
    <r>
      <rPr>
        <sz val="9"/>
        <rFont val="Noto Sans CJK SC"/>
        <family val="2"/>
      </rPr>
      <t xml:space="preserve">원료합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자동계산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결과요약에서 규격판정 확인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</si>
  <si>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5. </t>
    </r>
    <r>
      <rPr>
        <sz val="9"/>
        <rFont val="Noto Sans CJK SC"/>
        <family val="2"/>
      </rPr>
      <t xml:space="preserve">가이드배합비</t>
    </r>
    <r>
      <rPr>
        <sz val="9"/>
        <rFont val="맑은 고딕"/>
        <family val="0"/>
        <charset val="1"/>
      </rPr>
      <t xml:space="preserve">DB </t>
    </r>
    <r>
      <rPr>
        <sz val="9"/>
        <rFont val="Noto Sans CJK SC"/>
        <family val="2"/>
      </rPr>
      <t xml:space="preserve">시트에서 새로운 유형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맛 조합을 직접 추가할 수 있습니다</t>
    </r>
    <r>
      <rPr>
        <sz val="9"/>
        <rFont val="맑은 고딕"/>
        <family val="0"/>
        <charset val="1"/>
      </rPr>
      <t xml:space="preserve">.</t>
    </r>
  </si>
  <si>
    <t xml:space="preserve">음료 제품 원가계산서 (Cost Calculation Sheet)</t>
  </si>
  <si>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입력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</si>
  <si>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월생산량(병)</t>
  </si>
  <si>
    <t xml:space="preserve">연생산량(병)</t>
  </si>
  <si>
    <t xml:space="preserve">① 원재료비 (배합시뮬레이터 자동연동)</t>
  </si>
  <si>
    <t xml:space="preserve">항목</t>
  </si>
  <si>
    <t xml:space="preserve">산출근거</t>
  </si>
  <si>
    <t xml:space="preserve">사용량(kg/병)</t>
  </si>
  <si>
    <t xml:space="preserve">비용(원/병)</t>
  </si>
  <si>
    <t xml:space="preserve">비용(원/kg제품)</t>
  </si>
  <si>
    <t xml:space="preserve">원재료비 소계</t>
  </si>
  <si>
    <t xml:space="preserve">② 포장재비</t>
  </si>
  <si>
    <r>
      <rPr>
        <sz val="11"/>
        <color theme="1"/>
        <rFont val="Calibri"/>
        <family val="2"/>
        <charset val="1"/>
      </rPr>
      <t xml:space="preserve">PET </t>
    </r>
    <r>
      <rPr>
        <sz val="11"/>
        <color theme="1"/>
        <rFont val="Noto Sans CJK SC"/>
        <family val="2"/>
      </rPr>
      <t xml:space="preserve">용기</t>
    </r>
  </si>
  <si>
    <t xml:space="preserve">용기단가</t>
  </si>
  <si>
    <r>
      <rPr>
        <sz val="11"/>
        <color theme="1"/>
        <rFont val="Calibri"/>
        <family val="2"/>
        <charset val="1"/>
      </rPr>
      <t xml:space="preserve">PET 350ml </t>
    </r>
    <r>
      <rPr>
        <sz val="11"/>
        <color theme="1"/>
        <rFont val="Noto Sans CJK SC"/>
        <family val="2"/>
      </rPr>
      <t xml:space="preserve">기준</t>
    </r>
  </si>
  <si>
    <r>
      <rPr>
        <sz val="11"/>
        <color theme="1"/>
        <rFont val="Calibri"/>
        <family val="2"/>
        <charset val="1"/>
      </rPr>
      <t xml:space="preserve">PE </t>
    </r>
    <r>
      <rPr>
        <sz val="11"/>
        <color theme="1"/>
        <rFont val="Noto Sans CJK SC"/>
        <family val="2"/>
      </rPr>
      <t xml:space="preserve">캡 </t>
    </r>
    <r>
      <rPr>
        <sz val="11"/>
        <color theme="1"/>
        <rFont val="Calibri"/>
        <family val="2"/>
        <charset val="1"/>
      </rPr>
      <t xml:space="preserve">(28mm)</t>
    </r>
  </si>
  <si>
    <t xml:space="preserve">캡단가</t>
  </si>
  <si>
    <t xml:space="preserve">수축라벨 (PVC/PET)</t>
  </si>
  <si>
    <t xml:space="preserve">라벨단가</t>
  </si>
  <si>
    <t xml:space="preserve">열수축</t>
  </si>
  <si>
    <t xml:space="preserve">카톤박스 (24입)</t>
  </si>
  <si>
    <t xml:space="preserve">박스단가/24</t>
  </si>
  <si>
    <r>
      <rPr>
        <sz val="11"/>
        <color theme="1"/>
        <rFont val="Calibri"/>
        <family val="2"/>
        <charset val="1"/>
      </rPr>
      <t xml:space="preserve">1200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/24</t>
    </r>
    <r>
      <rPr>
        <sz val="11"/>
        <color theme="1"/>
        <rFont val="Noto Sans CJK SC"/>
        <family val="2"/>
      </rPr>
      <t xml:space="preserve">입</t>
    </r>
  </si>
  <si>
    <t xml:space="preserve">빨대/스트로우</t>
  </si>
  <si>
    <t xml:space="preserve">해당시</t>
  </si>
  <si>
    <t xml:space="preserve">해당없음시 0</t>
  </si>
  <si>
    <t xml:space="preserve">쉬링크랩</t>
  </si>
  <si>
    <t xml:space="preserve">팩당가</t>
  </si>
  <si>
    <t xml:space="preserve">포장재비 소계</t>
  </si>
  <si>
    <t xml:space="preserve">③ 제조경비 (가공비)</t>
  </si>
  <si>
    <t xml:space="preserve">인건비(직접)</t>
  </si>
  <si>
    <t xml:space="preserve">작업자 시급×시간/생산량</t>
  </si>
  <si>
    <t xml:space="preserve">인건비(간접)</t>
  </si>
  <si>
    <t xml:space="preserve">관리/품질인력 배분</t>
  </si>
  <si>
    <t xml:space="preserve">전력비</t>
  </si>
  <si>
    <t xml:space="preserve">살균/냉각/균질/충전</t>
  </si>
  <si>
    <t xml:space="preserve">용수비</t>
  </si>
  <si>
    <t xml:space="preserve">정제수제조+세척</t>
  </si>
  <si>
    <t xml:space="preserve">스팀비(열에너지)</t>
  </si>
  <si>
    <r>
      <rPr>
        <sz val="11"/>
        <color theme="1"/>
        <rFont val="Calibri"/>
        <family val="2"/>
        <charset val="1"/>
      </rPr>
      <t xml:space="preserve">UHT</t>
    </r>
    <r>
      <rPr>
        <sz val="11"/>
        <color theme="1"/>
        <rFont val="Noto Sans CJK SC"/>
        <family val="2"/>
      </rPr>
      <t xml:space="preserve">살균</t>
    </r>
    <r>
      <rPr>
        <sz val="11"/>
        <color theme="1"/>
        <rFont val="Calibri"/>
        <family val="2"/>
        <charset val="1"/>
      </rPr>
      <t xml:space="preserve">/CIP</t>
    </r>
  </si>
  <si>
    <t xml:space="preserve">냉각비</t>
  </si>
  <si>
    <t xml:space="preserve">냉각수/냉매</t>
  </si>
  <si>
    <t xml:space="preserve">압축공기/CO₂</t>
  </si>
  <si>
    <t xml:space="preserve">탄산주입/공압</t>
  </si>
  <si>
    <t xml:space="preserve">세척(CIP)비</t>
  </si>
  <si>
    <r>
      <rPr>
        <sz val="11"/>
        <color theme="1"/>
        <rFont val="Calibri"/>
        <family val="2"/>
        <charset val="1"/>
      </rPr>
      <t xml:space="preserve">CIP</t>
    </r>
    <r>
      <rPr>
        <sz val="11"/>
        <color theme="1"/>
        <rFont val="Noto Sans CJK SC"/>
        <family val="2"/>
      </rPr>
      <t xml:space="preserve">약품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용수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스팀</t>
    </r>
  </si>
  <si>
    <t xml:space="preserve">품질검사비</t>
  </si>
  <si>
    <t xml:space="preserve">이화학/미생물</t>
  </si>
  <si>
    <t xml:space="preserve">설비감가상각</t>
  </si>
  <si>
    <t xml:space="preserve">연감가/연생산량</t>
  </si>
  <si>
    <t xml:space="preserve">건물임차/감가</t>
  </si>
  <si>
    <t xml:space="preserve">공장 임대/감가비</t>
  </si>
  <si>
    <t xml:space="preserve">제조경비 소계</t>
  </si>
  <si>
    <t xml:space="preserve">④ 총괄 원가 요약</t>
  </si>
  <si>
    <t xml:space="preserve">원재료비</t>
  </si>
  <si>
    <t xml:space="preserve">포장재비</t>
  </si>
  <si>
    <t xml:space="preserve">제조경비</t>
  </si>
  <si>
    <t xml:space="preserve">★ 제조원가 합계</t>
  </si>
  <si>
    <t xml:space="preserve">소비자가(원)</t>
  </si>
  <si>
    <t xml:space="preserve">원가율(%)</t>
  </si>
  <si>
    <t xml:space="preserve">당류 Bx,감미</t>
  </si>
  <si>
    <t xml:space="preserve">부자재 Bx, 산도</t>
  </si>
  <si>
    <t xml:space="preserve">Bx</t>
  </si>
  <si>
    <t xml:space="preserve">안정제</t>
  </si>
  <si>
    <t xml:space="preserve">부자재</t>
  </si>
  <si>
    <t xml:space="preserve">산도</t>
  </si>
  <si>
    <t xml:space="preserve">백설탕</t>
  </si>
  <si>
    <t xml:space="preserve">사카린</t>
  </si>
  <si>
    <t xml:space="preserve">전분</t>
  </si>
  <si>
    <t xml:space="preserve">구연산</t>
  </si>
  <si>
    <t xml:space="preserve">함수결정포도당</t>
  </si>
  <si>
    <t xml:space="preserve">아세설팜</t>
  </si>
  <si>
    <t xml:space="preserve">펙틴</t>
  </si>
  <si>
    <t xml:space="preserve">사과산</t>
  </si>
  <si>
    <t xml:space="preserve">물엿</t>
  </si>
  <si>
    <t xml:space="preserve">검류</t>
  </si>
  <si>
    <t xml:space="preserve">글루코노델타락톤</t>
  </si>
  <si>
    <t xml:space="preserve">프락토올리고당</t>
  </si>
  <si>
    <t xml:space="preserve">네오헤스피리딘 디히드로칼콘</t>
  </si>
  <si>
    <t xml:space="preserve">비타민C</t>
  </si>
  <si>
    <t xml:space="preserve">갈락토올리고당</t>
  </si>
  <si>
    <t xml:space="preserve">스테비아 감미료</t>
  </si>
  <si>
    <t xml:space="preserve">이소말토올리고당</t>
  </si>
  <si>
    <t xml:space="preserve">소마틴</t>
  </si>
  <si>
    <t xml:space="preserve">칼슘제제</t>
  </si>
  <si>
    <t xml:space="preserve">액상과당</t>
  </si>
  <si>
    <t xml:space="preserve">감초감미료(글리시리진)</t>
  </si>
  <si>
    <t xml:space="preserve">복합허브추출물 지</t>
  </si>
  <si>
    <t xml:space="preserve">향료(합성)</t>
  </si>
  <si>
    <r>
      <rPr>
        <sz val="10"/>
        <rFont val="맑은 고딕"/>
        <family val="0"/>
        <charset val="1"/>
      </rPr>
      <t xml:space="preserve">D-</t>
    </r>
    <r>
      <rPr>
        <sz val="10"/>
        <rFont val="Noto Sans CJK SC"/>
        <family val="2"/>
      </rPr>
      <t xml:space="preserve">소르비톨액</t>
    </r>
  </si>
  <si>
    <t xml:space="preserve">사이클라메이트</t>
  </si>
  <si>
    <t xml:space="preserve">향료(천연)</t>
  </si>
  <si>
    <t xml:space="preserve">20~30</t>
  </si>
  <si>
    <t xml:space="preserve">이성화당</t>
  </si>
  <si>
    <t xml:space="preserve">색소(분말)</t>
  </si>
  <si>
    <t xml:space="preserve">이성화유당</t>
  </si>
  <si>
    <t xml:space="preserve">색소(액상)</t>
  </si>
  <si>
    <t xml:space="preserve">말토스</t>
  </si>
  <si>
    <t xml:space="preserve">말토올리고당</t>
  </si>
  <si>
    <t xml:space="preserve">파라티노스올리고당</t>
  </si>
  <si>
    <t xml:space="preserve">파라티니톨</t>
  </si>
  <si>
    <t xml:space="preserve">환원물엿</t>
  </si>
  <si>
    <t xml:space="preserve">자이리톨</t>
  </si>
  <si>
    <t xml:space="preserve">과당</t>
  </si>
  <si>
    <t xml:space="preserve">Type of Juice</t>
  </si>
  <si>
    <t xml:space="preserve">과일 이름</t>
  </si>
  <si>
    <t xml:space="preserve">s/s Brix Value</t>
  </si>
  <si>
    <t xml:space="preserve">한국기준</t>
  </si>
  <si>
    <t xml:space="preserve">FDA</t>
  </si>
  <si>
    <t xml:space="preserve">Apple</t>
  </si>
  <si>
    <r>
      <rPr>
        <sz val="10"/>
        <rFont val="맑은 고딕"/>
        <family val="0"/>
        <charset val="1"/>
      </rPr>
      <t xml:space="preserve">10 </t>
    </r>
    <r>
      <rPr>
        <sz val="10"/>
        <rFont val="Noto Sans CJK SC"/>
        <family val="2"/>
      </rPr>
      <t xml:space="preserve">이상</t>
    </r>
  </si>
  <si>
    <t xml:space="preserve">Date</t>
  </si>
  <si>
    <t xml:space="preserve">대추야자</t>
  </si>
  <si>
    <t xml:space="preserve">Apricot</t>
  </si>
  <si>
    <t xml:space="preserve">살구</t>
  </si>
  <si>
    <r>
      <rPr>
        <sz val="10"/>
        <rFont val="맑은 고딕"/>
        <family val="0"/>
        <charset val="1"/>
      </rPr>
      <t xml:space="preserve">7 </t>
    </r>
    <r>
      <rPr>
        <sz val="10"/>
        <rFont val="Noto Sans CJK SC"/>
        <family val="2"/>
      </rPr>
      <t xml:space="preserve">이상</t>
    </r>
  </si>
  <si>
    <t xml:space="preserve">Dewberry</t>
  </si>
  <si>
    <t xml:space="preserve">듀베리</t>
  </si>
  <si>
    <t xml:space="preserve">Lemon</t>
  </si>
  <si>
    <t xml:space="preserve">레몬</t>
  </si>
  <si>
    <t xml:space="preserve">Elderberry</t>
  </si>
  <si>
    <t xml:space="preserve">엘더베리</t>
  </si>
  <si>
    <t xml:space="preserve">Lime</t>
  </si>
  <si>
    <t xml:space="preserve">라임</t>
  </si>
  <si>
    <t xml:space="preserve">Fig</t>
  </si>
  <si>
    <t xml:space="preserve">무화과</t>
  </si>
  <si>
    <t xml:space="preserve">Papaya</t>
  </si>
  <si>
    <t xml:space="preserve">파파야</t>
  </si>
  <si>
    <r>
      <rPr>
        <sz val="10"/>
        <rFont val="맑은 고딕"/>
        <family val="0"/>
        <charset val="1"/>
      </rPr>
      <t xml:space="preserve">9 </t>
    </r>
    <r>
      <rPr>
        <sz val="10"/>
        <rFont val="Noto Sans CJK SC"/>
        <family val="2"/>
      </rPr>
      <t xml:space="preserve">이상</t>
    </r>
  </si>
  <si>
    <t xml:space="preserve">Gooseberry</t>
  </si>
  <si>
    <t xml:space="preserve">구스베리</t>
  </si>
  <si>
    <t xml:space="preserve">Peach</t>
  </si>
  <si>
    <t xml:space="preserve">복숭아</t>
  </si>
  <si>
    <t xml:space="preserve">Grape</t>
  </si>
  <si>
    <t xml:space="preserve">포도</t>
  </si>
  <si>
    <t xml:space="preserve">Pear</t>
  </si>
  <si>
    <t xml:space="preserve">배</t>
  </si>
  <si>
    <r>
      <rPr>
        <sz val="10"/>
        <rFont val="맑은 고딕"/>
        <family val="0"/>
        <charset val="1"/>
      </rPr>
      <t xml:space="preserve">8 </t>
    </r>
    <r>
      <rPr>
        <sz val="10"/>
        <rFont val="Noto Sans CJK SC"/>
        <family val="2"/>
      </rPr>
      <t xml:space="preserve">이상</t>
    </r>
  </si>
  <si>
    <t xml:space="preserve">Honeydew melon</t>
  </si>
  <si>
    <t xml:space="preserve">멜론(허니듀)</t>
  </si>
  <si>
    <t xml:space="preserve">Plum</t>
  </si>
  <si>
    <t xml:space="preserve">자두</t>
  </si>
  <si>
    <r>
      <rPr>
        <sz val="10"/>
        <rFont val="맑은 고딕"/>
        <family val="0"/>
        <charset val="1"/>
      </rPr>
      <t xml:space="preserve">6 </t>
    </r>
    <r>
      <rPr>
        <sz val="10"/>
        <rFont val="Noto Sans CJK SC"/>
        <family val="2"/>
      </rPr>
      <t xml:space="preserve">이상</t>
    </r>
  </si>
  <si>
    <t xml:space="preserve">Kiwi</t>
  </si>
  <si>
    <t xml:space="preserve">키위(양다래)</t>
  </si>
  <si>
    <t xml:space="preserve">Strawberry</t>
  </si>
  <si>
    <t xml:space="preserve">딸기</t>
  </si>
  <si>
    <t xml:space="preserve">Grapefriut</t>
  </si>
  <si>
    <t xml:space="preserve">자몽</t>
  </si>
  <si>
    <t xml:space="preserve">Watermelon</t>
  </si>
  <si>
    <t xml:space="preserve">수박</t>
  </si>
  <si>
    <t xml:space="preserve">Guava</t>
  </si>
  <si>
    <t xml:space="preserve">구아바</t>
  </si>
  <si>
    <t xml:space="preserve">Acerola</t>
  </si>
  <si>
    <t xml:space="preserve">아세롤라</t>
  </si>
  <si>
    <t xml:space="preserve">Loganberry</t>
  </si>
  <si>
    <t xml:space="preserve">로건베리</t>
  </si>
  <si>
    <t xml:space="preserve">Asparagus</t>
  </si>
  <si>
    <t xml:space="preserve">아스파라거스</t>
  </si>
  <si>
    <t xml:space="preserve">Mango</t>
  </si>
  <si>
    <t xml:space="preserve">망고</t>
  </si>
  <si>
    <t xml:space="preserve">Banana</t>
  </si>
  <si>
    <t xml:space="preserve">바나나</t>
  </si>
  <si>
    <t xml:space="preserve">Nectarine</t>
  </si>
  <si>
    <t xml:space="preserve">천도복숭아</t>
  </si>
  <si>
    <t xml:space="preserve">Beet (Red)</t>
  </si>
  <si>
    <t xml:space="preserve">빨강사탕무우</t>
  </si>
  <si>
    <t xml:space="preserve">Orange</t>
  </si>
  <si>
    <t xml:space="preserve">오렌지</t>
  </si>
  <si>
    <t xml:space="preserve">Bell Pepper (Red)</t>
  </si>
  <si>
    <t xml:space="preserve">벨페퍼</t>
  </si>
  <si>
    <t xml:space="preserve">Passion Fruit</t>
  </si>
  <si>
    <t xml:space="preserve">패션프룻</t>
  </si>
  <si>
    <t xml:space="preserve">Bilberry</t>
  </si>
  <si>
    <t xml:space="preserve">빌베리</t>
  </si>
  <si>
    <t xml:space="preserve">Pineapple</t>
  </si>
  <si>
    <t xml:space="preserve">파인애플</t>
  </si>
  <si>
    <t xml:space="preserve">Blackberry</t>
  </si>
  <si>
    <t xml:space="preserve">블랙베리</t>
  </si>
  <si>
    <t xml:space="preserve">Pomegranate</t>
  </si>
  <si>
    <t xml:space="preserve">석류</t>
  </si>
  <si>
    <t xml:space="preserve">Blueberry</t>
  </si>
  <si>
    <t xml:space="preserve">블루베리</t>
  </si>
  <si>
    <t xml:space="preserve">Prune</t>
  </si>
  <si>
    <t xml:space="preserve">푸룬</t>
  </si>
  <si>
    <t xml:space="preserve">Boysenberry</t>
  </si>
  <si>
    <t xml:space="preserve">보이젠베리</t>
  </si>
  <si>
    <t xml:space="preserve">Quince</t>
  </si>
  <si>
    <t xml:space="preserve">모과</t>
  </si>
  <si>
    <t xml:space="preserve">Cantaloupe Melon</t>
  </si>
  <si>
    <t xml:space="preserve">Raisin</t>
  </si>
  <si>
    <t xml:space="preserve">건포도</t>
  </si>
  <si>
    <t xml:space="preserve">Carambola (Strafruit)</t>
  </si>
  <si>
    <t xml:space="preserve">스타프룻</t>
  </si>
  <si>
    <t xml:space="preserve">Raspberry (Black)</t>
  </si>
  <si>
    <t xml:space="preserve">라스베리(블랙)</t>
  </si>
  <si>
    <t xml:space="preserve">Carrot</t>
  </si>
  <si>
    <t xml:space="preserve">당근</t>
  </si>
  <si>
    <t xml:space="preserve">Raspberry (Red)</t>
  </si>
  <si>
    <t xml:space="preserve">라스베리</t>
  </si>
  <si>
    <t xml:space="preserve">Casaba Melon</t>
  </si>
  <si>
    <t xml:space="preserve">멜론(카싸바)</t>
  </si>
  <si>
    <t xml:space="preserve">Red Date</t>
  </si>
  <si>
    <t xml:space="preserve">대추</t>
  </si>
  <si>
    <t xml:space="preserve">Cashew (Caju)</t>
  </si>
  <si>
    <t xml:space="preserve">캐쉬넛</t>
  </si>
  <si>
    <t xml:space="preserve">Rhubarb</t>
  </si>
  <si>
    <t xml:space="preserve">러밥</t>
  </si>
  <si>
    <t xml:space="preserve">Celery</t>
  </si>
  <si>
    <t xml:space="preserve">샐러리</t>
  </si>
  <si>
    <t xml:space="preserve">Soursop</t>
  </si>
  <si>
    <t xml:space="preserve">샤워솝</t>
  </si>
  <si>
    <t xml:space="preserve">Cherry (Dark Sweet)</t>
  </si>
  <si>
    <t xml:space="preserve">버찌 (DS)</t>
  </si>
  <si>
    <t xml:space="preserve">Spinach</t>
  </si>
  <si>
    <t xml:space="preserve">시금치</t>
  </si>
  <si>
    <t xml:space="preserve">Cherry (Red Sour)</t>
  </si>
  <si>
    <t xml:space="preserve">버찌 (RS)</t>
  </si>
  <si>
    <t xml:space="preserve">Sweet Potato</t>
  </si>
  <si>
    <t xml:space="preserve">고구마</t>
  </si>
  <si>
    <t xml:space="preserve">Crab Apple</t>
  </si>
  <si>
    <t xml:space="preserve">꽃사과, 야생 능금</t>
  </si>
  <si>
    <t xml:space="preserve">Tamarind</t>
  </si>
  <si>
    <t xml:space="preserve">타마린드</t>
  </si>
  <si>
    <t xml:space="preserve">Cranberry</t>
  </si>
  <si>
    <t xml:space="preserve">크랜베리</t>
  </si>
  <si>
    <t xml:space="preserve">Tangerine</t>
  </si>
  <si>
    <t xml:space="preserve">탠저린</t>
  </si>
  <si>
    <t xml:space="preserve">Currant (Black)</t>
  </si>
  <si>
    <t xml:space="preserve">까막까치밥</t>
  </si>
  <si>
    <t xml:space="preserve">Tomato</t>
  </si>
  <si>
    <t xml:space="preserve">토마토</t>
  </si>
  <si>
    <t xml:space="preserve">Currant (Red)</t>
  </si>
  <si>
    <t xml:space="preserve">까치밥(레드)</t>
  </si>
  <si>
    <t xml:space="preserve">Youngberry</t>
  </si>
  <si>
    <t xml:space="preserve">영베리</t>
  </si>
  <si>
    <t xml:space="preserve">키(유형_맛_슬롯)</t>
  </si>
  <si>
    <t xml:space="preserve">슬롯번호</t>
  </si>
  <si>
    <r>
      <rPr>
        <b val="true"/>
        <sz val="9"/>
        <rFont val="맑은 고딕"/>
        <family val="0"/>
        <charset val="1"/>
      </rPr>
      <t xml:space="preserve">AI</t>
    </r>
    <r>
      <rPr>
        <b val="true"/>
        <sz val="9"/>
        <rFont val="Noto Sans CJK SC"/>
        <family val="2"/>
      </rPr>
      <t xml:space="preserve">추천</t>
    </r>
    <r>
      <rPr>
        <b val="true"/>
        <sz val="9"/>
        <rFont val="맑은 고딕"/>
        <family val="0"/>
        <charset val="1"/>
      </rPr>
      <t xml:space="preserve">_</t>
    </r>
    <r>
      <rPr>
        <b val="true"/>
        <sz val="9"/>
        <rFont val="Noto Sans CJK SC"/>
        <family val="2"/>
      </rPr>
      <t xml:space="preserve">원료명</t>
    </r>
  </si>
  <si>
    <r>
      <rPr>
        <b val="true"/>
        <sz val="9"/>
        <rFont val="맑은 고딕"/>
        <family val="0"/>
        <charset val="1"/>
      </rPr>
      <t xml:space="preserve">AI</t>
    </r>
    <r>
      <rPr>
        <b val="true"/>
        <sz val="9"/>
        <rFont val="Noto Sans CJK SC"/>
        <family val="2"/>
      </rPr>
      <t xml:space="preserve">추천</t>
    </r>
    <r>
      <rPr>
        <b val="true"/>
        <sz val="9"/>
        <rFont val="맑은 고딕"/>
        <family val="0"/>
        <charset val="1"/>
      </rPr>
      <t xml:space="preserve">_</t>
    </r>
    <r>
      <rPr>
        <b val="true"/>
        <sz val="9"/>
        <rFont val="Noto Sans CJK SC"/>
        <family val="2"/>
      </rPr>
      <t xml:space="preserve">배합비</t>
    </r>
    <r>
      <rPr>
        <b val="true"/>
        <sz val="9"/>
        <rFont val="맑은 고딕"/>
        <family val="0"/>
        <charset val="1"/>
      </rPr>
      <t xml:space="preserve">(%)</t>
    </r>
  </si>
  <si>
    <t xml:space="preserve">실제사례_원료명</t>
  </si>
  <si>
    <t xml:space="preserve">실제사례_배합비(%)</t>
  </si>
  <si>
    <t xml:space="preserve">과·채음료_사과_1</t>
  </si>
  <si>
    <t xml:space="preserve">과·채음료_사과_2</t>
  </si>
  <si>
    <t xml:space="preserve">과·채음료_사과_3</t>
  </si>
  <si>
    <t xml:space="preserve">과·채음료_사과_4</t>
  </si>
  <si>
    <t xml:space="preserve">과·채음료_사과_5</t>
  </si>
  <si>
    <t xml:space="preserve">과·채음료_사과_6</t>
  </si>
  <si>
    <t xml:space="preserve">과·채음료_사과_7</t>
  </si>
  <si>
    <t xml:space="preserve">과·채음료_사과_8</t>
  </si>
  <si>
    <t xml:space="preserve">과·채음료_사과_9</t>
  </si>
  <si>
    <t xml:space="preserve">과·채음료_사과_10</t>
  </si>
  <si>
    <t xml:space="preserve">과·채음료_사과_11</t>
  </si>
  <si>
    <t xml:space="preserve">과·채음료_사과_12</t>
  </si>
  <si>
    <t xml:space="preserve">과·채음료_사과_13</t>
  </si>
  <si>
    <t xml:space="preserve">기타</t>
  </si>
  <si>
    <t xml:space="preserve">과·채음료_사과_14</t>
  </si>
  <si>
    <t xml:space="preserve">니코틴산아미드</t>
  </si>
  <si>
    <t xml:space="preserve">과·채음료_사과_15</t>
  </si>
  <si>
    <t xml:space="preserve">과·채음료_사과_16</t>
  </si>
  <si>
    <t xml:space="preserve">과·채음료_사과_17</t>
  </si>
  <si>
    <t xml:space="preserve">과·채음료_사과_18</t>
  </si>
  <si>
    <t xml:space="preserve">과·채음료_사과_19</t>
  </si>
  <si>
    <t xml:space="preserve">과·채음료_사과_20</t>
  </si>
  <si>
    <t xml:space="preserve">과·채음료_딸기_1</t>
  </si>
  <si>
    <t xml:space="preserve">딸기농축과즙(65Brix)</t>
  </si>
  <si>
    <t xml:space="preserve">과·채음료_딸기_2</t>
  </si>
  <si>
    <t xml:space="preserve">딸기퓨레</t>
  </si>
  <si>
    <t xml:space="preserve">과·채음료_딸기_3</t>
  </si>
  <si>
    <t xml:space="preserve">과·채음료_딸기_4</t>
  </si>
  <si>
    <t xml:space="preserve">과·채음료_딸기_5</t>
  </si>
  <si>
    <t xml:space="preserve">과·채음료_딸기_6</t>
  </si>
  <si>
    <t xml:space="preserve">과·채음료_딸기_7</t>
  </si>
  <si>
    <t xml:space="preserve">과·채음료_딸기_8</t>
  </si>
  <si>
    <t xml:space="preserve">과·채음료_딸기_9</t>
  </si>
  <si>
    <t xml:space="preserve">과·채음료_딸기_10</t>
  </si>
  <si>
    <t xml:space="preserve">전분(가공)</t>
  </si>
  <si>
    <t xml:space="preserve">과·채음료_딸기_11</t>
  </si>
  <si>
    <t xml:space="preserve">과·채음료_딸기_12</t>
  </si>
  <si>
    <t xml:space="preserve">과·채음료_딸기_13</t>
  </si>
  <si>
    <t xml:space="preserve">과·채음료_딸기_14</t>
  </si>
  <si>
    <t xml:space="preserve">딸기향(수용성)</t>
  </si>
  <si>
    <t xml:space="preserve">과·채음료_딸기_15</t>
  </si>
  <si>
    <t xml:space="preserve">과·채음료_딸기_16</t>
  </si>
  <si>
    <t xml:space="preserve">적색소(합성)</t>
  </si>
  <si>
    <t xml:space="preserve">과·채음료_딸기_17</t>
  </si>
  <si>
    <t xml:space="preserve">과·채음료_딸기_18</t>
  </si>
  <si>
    <t xml:space="preserve">과·채음료_딸기_19</t>
  </si>
  <si>
    <t xml:space="preserve">과·채음료_딸기_20</t>
  </si>
  <si>
    <t xml:space="preserve">과·채음료_포도_1</t>
  </si>
  <si>
    <t xml:space="preserve">포도농축과즙(65Brix)</t>
  </si>
  <si>
    <t xml:space="preserve">과·채음료_포도_2</t>
  </si>
  <si>
    <t xml:space="preserve">포도과립</t>
  </si>
  <si>
    <t xml:space="preserve">과·채음료_포도_3</t>
  </si>
  <si>
    <t xml:space="preserve">과·채음료_포도_4</t>
  </si>
  <si>
    <t xml:space="preserve">과·채음료_포도_5</t>
  </si>
  <si>
    <t xml:space="preserve">과·채음료_포도_6</t>
  </si>
  <si>
    <t xml:space="preserve">과·채음료_포도_7</t>
  </si>
  <si>
    <t xml:space="preserve">과·채음료_포도_8</t>
  </si>
  <si>
    <t xml:space="preserve">과·채음료_포도_9</t>
  </si>
  <si>
    <t xml:space="preserve">과·채음료_포도_10</t>
  </si>
  <si>
    <t xml:space="preserve">과·채음료_포도_11</t>
  </si>
  <si>
    <t xml:space="preserve">과·채음료_포도_12</t>
  </si>
  <si>
    <t xml:space="preserve">과·채음료_포도_13</t>
  </si>
  <si>
    <t xml:space="preserve">과·채음료_포도_14</t>
  </si>
  <si>
    <t xml:space="preserve">포도향(수용성)</t>
  </si>
  <si>
    <t xml:space="preserve">과·채음료_포도_15</t>
  </si>
  <si>
    <t xml:space="preserve">과·채음료_포도_16</t>
  </si>
  <si>
    <t xml:space="preserve">적포도색소</t>
  </si>
  <si>
    <t xml:space="preserve">과·채음료_포도_17</t>
  </si>
  <si>
    <t xml:space="preserve">과·채음료_포도_18</t>
  </si>
  <si>
    <t xml:space="preserve">과·채음료_포도_19</t>
  </si>
  <si>
    <t xml:space="preserve">과·채음료_포도_20</t>
  </si>
  <si>
    <t xml:space="preserve">과·채음료_오렌지_1</t>
  </si>
  <si>
    <t xml:space="preserve">과·채음료_오렌지_2</t>
  </si>
  <si>
    <t xml:space="preserve">오렌지과육</t>
  </si>
  <si>
    <t xml:space="preserve">과·채음료_오렌지_3</t>
  </si>
  <si>
    <t xml:space="preserve">과·채음료_오렌지_4</t>
  </si>
  <si>
    <t xml:space="preserve">과·채음료_오렌지_5</t>
  </si>
  <si>
    <t xml:space="preserve">과·채음료_오렌지_6</t>
  </si>
  <si>
    <t xml:space="preserve">과·채음료_오렌지_7</t>
  </si>
  <si>
    <t xml:space="preserve">과·채음료_오렌지_8</t>
  </si>
  <si>
    <t xml:space="preserve">과·채음료_오렌지_9</t>
  </si>
  <si>
    <t xml:space="preserve">과·채음료_오렌지_10</t>
  </si>
  <si>
    <t xml:space="preserve">과·채음료_오렌지_11</t>
  </si>
  <si>
    <t xml:space="preserve">과·채음료_오렌지_12</t>
  </si>
  <si>
    <t xml:space="preserve">과·채음료_오렌지_13</t>
  </si>
  <si>
    <t xml:space="preserve">과·채음료_오렌지_14</t>
  </si>
  <si>
    <t xml:space="preserve">과·채음료_오렌지_15</t>
  </si>
  <si>
    <t xml:space="preserve">과·채음료_오렌지_16</t>
  </si>
  <si>
    <t xml:space="preserve">과·채음료_오렌지_17</t>
  </si>
  <si>
    <t xml:space="preserve">과·채음료_오렌지_18</t>
  </si>
  <si>
    <t xml:space="preserve">과·채음료_오렌지_19</t>
  </si>
  <si>
    <t xml:space="preserve">과·채음료_오렌지_20</t>
  </si>
  <si>
    <t xml:space="preserve">과·채음료_복숭아_1</t>
  </si>
  <si>
    <t xml:space="preserve">백도농축과즙(60Brix)</t>
  </si>
  <si>
    <t xml:space="preserve">과·채음료_복숭아_2</t>
  </si>
  <si>
    <t xml:space="preserve">백도퓨레</t>
  </si>
  <si>
    <t xml:space="preserve">과·채음료_복숭아_3</t>
  </si>
  <si>
    <t xml:space="preserve">과·채음료_복숭아_4</t>
  </si>
  <si>
    <t xml:space="preserve">과·채음료_복숭아_5</t>
  </si>
  <si>
    <t xml:space="preserve">과·채음료_복숭아_6</t>
  </si>
  <si>
    <t xml:space="preserve">과·채음료_복숭아_7</t>
  </si>
  <si>
    <t xml:space="preserve">과·채음료_복숭아_8</t>
  </si>
  <si>
    <t xml:space="preserve">과·채음료_복숭아_9</t>
  </si>
  <si>
    <t xml:space="preserve">과·채음료_복숭아_10</t>
  </si>
  <si>
    <t xml:space="preserve">과·채음료_복숭아_11</t>
  </si>
  <si>
    <t xml:space="preserve">과·채음료_복숭아_12</t>
  </si>
  <si>
    <t xml:space="preserve">과·채음료_복숭아_13</t>
  </si>
  <si>
    <t xml:space="preserve">과·채음료_복숭아_14</t>
  </si>
  <si>
    <t xml:space="preserve">과·채음료_복숭아_15</t>
  </si>
  <si>
    <t xml:space="preserve">과·채음료_복숭아_16</t>
  </si>
  <si>
    <t xml:space="preserve">황색4호</t>
  </si>
  <si>
    <t xml:space="preserve">과·채음료_복숭아_17</t>
  </si>
  <si>
    <t xml:space="preserve">과·채음료_복숭아_18</t>
  </si>
  <si>
    <t xml:space="preserve">과·채음료_복숭아_19</t>
  </si>
  <si>
    <t xml:space="preserve">과·채음료_복숭아_20</t>
  </si>
  <si>
    <t xml:space="preserve">과·채음료_망고_1</t>
  </si>
  <si>
    <t xml:space="preserve">과·채음료_망고_2</t>
  </si>
  <si>
    <t xml:space="preserve">망고퓨레</t>
  </si>
  <si>
    <t xml:space="preserve">과·채음료_망고_3</t>
  </si>
  <si>
    <t xml:space="preserve">과·채음료_망고_4</t>
  </si>
  <si>
    <t xml:space="preserve">과·채음료_망고_5</t>
  </si>
  <si>
    <t xml:space="preserve">과·채음료_망고_6</t>
  </si>
  <si>
    <t xml:space="preserve">과·채음료_망고_7</t>
  </si>
  <si>
    <t xml:space="preserve">과·채음료_망고_8</t>
  </si>
  <si>
    <t xml:space="preserve">과·채음료_망고_9</t>
  </si>
  <si>
    <t xml:space="preserve">과·채음료_망고_10</t>
  </si>
  <si>
    <t xml:space="preserve">과·채음료_망고_11</t>
  </si>
  <si>
    <t xml:space="preserve">과·채음료_망고_12</t>
  </si>
  <si>
    <t xml:space="preserve">과·채음료_망고_13</t>
  </si>
  <si>
    <t xml:space="preserve">과·채음료_망고_14</t>
  </si>
  <si>
    <t xml:space="preserve">망고향(수용성)</t>
  </si>
  <si>
    <t xml:space="preserve">과·채음료_망고_15</t>
  </si>
  <si>
    <t xml:space="preserve">과·채음료_망고_16</t>
  </si>
  <si>
    <t xml:space="preserve">과·채음료_망고_17</t>
  </si>
  <si>
    <t xml:space="preserve">과·채음료_망고_18</t>
  </si>
  <si>
    <t xml:space="preserve">과·채음료_망고_19</t>
  </si>
  <si>
    <t xml:space="preserve">과·채음료_망고_20</t>
  </si>
  <si>
    <t xml:space="preserve">과·채주스(100%)_사과_1</t>
  </si>
  <si>
    <t xml:space="preserve">과·채주스(100%)_사과_2</t>
  </si>
  <si>
    <t xml:space="preserve">과·채주스(100%)_사과_3</t>
  </si>
  <si>
    <t xml:space="preserve">과·채주스(100%)_사과_4</t>
  </si>
  <si>
    <t xml:space="preserve">과·채주스(100%)_사과_5</t>
  </si>
  <si>
    <t xml:space="preserve">과·채주스(100%)_사과_6</t>
  </si>
  <si>
    <t xml:space="preserve">과·채주스(100%)_사과_7</t>
  </si>
  <si>
    <t xml:space="preserve">과·채주스(100%)_사과_8</t>
  </si>
  <si>
    <t xml:space="preserve">과·채주스(100%)_사과_9</t>
  </si>
  <si>
    <t xml:space="preserve">과·채주스(100%)_사과_10</t>
  </si>
  <si>
    <t xml:space="preserve">과·채주스(100%)_사과_11</t>
  </si>
  <si>
    <t xml:space="preserve">과·채주스(100%)_사과_12</t>
  </si>
  <si>
    <t xml:space="preserve">과·채주스(100%)_사과_13</t>
  </si>
  <si>
    <t xml:space="preserve">과·채주스(100%)_사과_14</t>
  </si>
  <si>
    <t xml:space="preserve">과·채주스(100%)_사과_15</t>
  </si>
  <si>
    <t xml:space="preserve">과·채주스(100%)_사과_16</t>
  </si>
  <si>
    <t xml:space="preserve">과·채주스(100%)_사과_17</t>
  </si>
  <si>
    <t xml:space="preserve">과·채주스(100%)_사과_18</t>
  </si>
  <si>
    <t xml:space="preserve">과·채주스(100%)_사과_19</t>
  </si>
  <si>
    <t xml:space="preserve">과·채주스(100%)_사과_20</t>
  </si>
  <si>
    <t xml:space="preserve">과·채주스(100%)_오렌지_1</t>
  </si>
  <si>
    <t xml:space="preserve">과·채주스(100%)_오렌지_2</t>
  </si>
  <si>
    <t xml:space="preserve">과·채주스(100%)_오렌지_3</t>
  </si>
  <si>
    <t xml:space="preserve">과·채주스(100%)_오렌지_4</t>
  </si>
  <si>
    <t xml:space="preserve">과·채주스(100%)_오렌지_5</t>
  </si>
  <si>
    <t xml:space="preserve">과·채주스(100%)_오렌지_6</t>
  </si>
  <si>
    <t xml:space="preserve">과·채주스(100%)_오렌지_7</t>
  </si>
  <si>
    <t xml:space="preserve">과·채주스(100%)_오렌지_8</t>
  </si>
  <si>
    <t xml:space="preserve">과·채주스(100%)_오렌지_9</t>
  </si>
  <si>
    <t xml:space="preserve">과·채주스(100%)_오렌지_10</t>
  </si>
  <si>
    <t xml:space="preserve">과·채주스(100%)_오렌지_11</t>
  </si>
  <si>
    <t xml:space="preserve">과·채주스(100%)_오렌지_12</t>
  </si>
  <si>
    <t xml:space="preserve">과·채주스(100%)_오렌지_13</t>
  </si>
  <si>
    <t xml:space="preserve">과·채주스(100%)_오렌지_14</t>
  </si>
  <si>
    <t xml:space="preserve">과·채주스(100%)_오렌지_15</t>
  </si>
  <si>
    <t xml:space="preserve">과·채주스(100%)_오렌지_16</t>
  </si>
  <si>
    <t xml:space="preserve">과·채주스(100%)_오렌지_17</t>
  </si>
  <si>
    <t xml:space="preserve">과·채주스(100%)_오렌지_18</t>
  </si>
  <si>
    <t xml:space="preserve">과·채주스(100%)_오렌지_19</t>
  </si>
  <si>
    <t xml:space="preserve">과·채주스(100%)_오렌지_20</t>
  </si>
  <si>
    <t xml:space="preserve">탄산음료_레몬_1</t>
  </si>
  <si>
    <t xml:space="preserve">레몬농축과즙(50Brix)</t>
  </si>
  <si>
    <t xml:space="preserve">탄산음료_레몬_2</t>
  </si>
  <si>
    <t xml:space="preserve">탄산음료_레몬_3</t>
  </si>
  <si>
    <t xml:space="preserve">탄산음료_레몬_4</t>
  </si>
  <si>
    <t xml:space="preserve">탄산음료_레몬_5</t>
  </si>
  <si>
    <t xml:space="preserve">탄산음료_레몬_6</t>
  </si>
  <si>
    <t xml:space="preserve">탄산음료_레몬_7</t>
  </si>
  <si>
    <t xml:space="preserve">탄산음료_레몬_8</t>
  </si>
  <si>
    <t xml:space="preserve">탄산음료_레몬_9</t>
  </si>
  <si>
    <t xml:space="preserve">탄산음료_레몬_10</t>
  </si>
  <si>
    <t xml:space="preserve">탄산음료_레몬_11</t>
  </si>
  <si>
    <t xml:space="preserve">탄산음료_레몬_12</t>
  </si>
  <si>
    <t xml:space="preserve">탄산음료_레몬_13</t>
  </si>
  <si>
    <t xml:space="preserve">탄산음료_레몬_14</t>
  </si>
  <si>
    <t xml:space="preserve">탄산음료_레몬_15</t>
  </si>
  <si>
    <t xml:space="preserve">탄산음료_레몬_16</t>
  </si>
  <si>
    <t xml:space="preserve">탄산음료_레몬_17</t>
  </si>
  <si>
    <t xml:space="preserve">탄산음료_레몬_18</t>
  </si>
  <si>
    <t xml:space="preserve">탄산음료_레몬_19</t>
  </si>
  <si>
    <t xml:space="preserve">탄산음료_레몬_20</t>
  </si>
  <si>
    <t xml:space="preserve">유산균음료(살균)_딸기_1</t>
  </si>
  <si>
    <t xml:space="preserve">유산균음료(살균)_딸기_2</t>
  </si>
  <si>
    <t xml:space="preserve">유산균음료(살균)_딸기_3</t>
  </si>
  <si>
    <t xml:space="preserve">유산균배양액</t>
  </si>
  <si>
    <t xml:space="preserve">유산균음료(살균)_딸기_4</t>
  </si>
  <si>
    <t xml:space="preserve">유산균음료(살균)_딸기_5</t>
  </si>
  <si>
    <t xml:space="preserve">유산균음료(살균)_딸기_6</t>
  </si>
  <si>
    <t xml:space="preserve">유산균음료(살균)_딸기_7</t>
  </si>
  <si>
    <t xml:space="preserve">유산균음료(살균)_딸기_8</t>
  </si>
  <si>
    <t xml:space="preserve">유산균음료(살균)_딸기_9</t>
  </si>
  <si>
    <t xml:space="preserve">유산균음료(살균)_딸기_10</t>
  </si>
  <si>
    <t xml:space="preserve">유산균음료(살균)_딸기_11</t>
  </si>
  <si>
    <t xml:space="preserve">유산균음료(살균)_딸기_12</t>
  </si>
  <si>
    <t xml:space="preserve">유산균음료(살균)_딸기_13</t>
  </si>
  <si>
    <t xml:space="preserve">유산균음료(살균)_딸기_14</t>
  </si>
  <si>
    <t xml:space="preserve">유산균음료(살균)_딸기_15</t>
  </si>
  <si>
    <t xml:space="preserve">유산균음료(살균)_딸기_16</t>
  </si>
  <si>
    <t xml:space="preserve">유산균음료(살균)_딸기_17</t>
  </si>
  <si>
    <t xml:space="preserve">유산균음료(살균)_딸기_18</t>
  </si>
  <si>
    <t xml:space="preserve">유산균음료(살균)_딸기_19</t>
  </si>
  <si>
    <t xml:space="preserve">유산균음료(살균)_딸기_20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</si>
</sst>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"/>
    <numFmt numFmtId="166" formatCode="0.00"/>
    <numFmt numFmtId="167" formatCode="General"/>
    <numFmt numFmtId="168" formatCode="#,##0"/>
    <numFmt numFmtId="169" formatCode="0.0"/>
    <numFmt numFmtId="170" formatCode="0.0%"/>
    <numFmt numFmtId="171" formatCode="0.0000"/>
    <numFmt numFmtId="172" formatCode="0"/>
    <numFmt numFmtId="173" formatCode="0.00000"/>
    <numFmt numFmtId="174" formatCode="#,##0.0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sz val="9"/>
      <name val="Arial"/>
      <family val="0"/>
      <charset val="1"/>
    </font>
    <font>
      <sz val="9"/>
      <name val="Noto Sans CJK SC"/>
      <family val="2"/>
      <charset val="1"/>
    </font>
    <font>
      <sz val="9"/>
      <name val="Noto Sans CJK SC"/>
      <family val="2"/>
    </font>
    <font>
      <b val="true"/>
      <sz val="10"/>
      <name val="Noto Sans CJK SC"/>
      <family val="2"/>
      <charset val="1"/>
    </font>
    <font>
      <b val="true"/>
      <sz val="10"/>
      <name val="맑은 고딕"/>
      <family val="0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9"/>
      <color rgb="FF808080"/>
      <name val="맑은 고딕"/>
      <family val="0"/>
      <charset val="1"/>
    </font>
    <font>
      <b val="true"/>
      <sz val="9"/>
      <color rgb="FF808080"/>
      <name val="Noto Sans CJK SC"/>
      <family val="2"/>
      <charset val="1"/>
    </font>
    <font>
      <sz val="9"/>
      <color rgb="FF808080"/>
      <name val="맑은 고딕"/>
      <family val="0"/>
      <charset val="1"/>
    </font>
    <font>
      <b val="true"/>
      <sz val="14"/>
      <color rgb="FFFFFFFF"/>
      <name val="Noto Sans CJK SC"/>
      <family val="2"/>
      <charset val="1"/>
    </font>
    <font>
      <i val="true"/>
      <sz val="9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b val="true"/>
      <sz val="8"/>
      <color rgb="FFC00000"/>
      <name val="Noto Sans CJK SC"/>
      <family val="2"/>
    </font>
    <font>
      <sz val="10"/>
      <color rgb="FFC00000"/>
      <name val="맑은 고딕"/>
      <family val="0"/>
      <charset val="1"/>
    </font>
    <font>
      <b val="true"/>
      <sz val="8"/>
      <color rgb="FF375623"/>
      <name val="Noto Sans CJK SC"/>
      <family val="2"/>
    </font>
    <font>
      <sz val="9"/>
      <name val="맑은 고딕"/>
      <family val="0"/>
      <charset val="1"/>
    </font>
    <font>
      <b val="true"/>
      <sz val="11"/>
      <color rgb="FFC00000"/>
      <name val="Noto Sans CJK SC"/>
      <family val="2"/>
      <charset val="1"/>
    </font>
    <font>
      <b val="true"/>
      <sz val="8"/>
      <name val="Noto Sans CJK SC"/>
      <family val="2"/>
      <charset val="1"/>
    </font>
    <font>
      <i val="true"/>
      <sz val="8"/>
      <color rgb="FF808080"/>
      <name val="Noto Sans CJK SC"/>
      <family val="2"/>
    </font>
    <font>
      <i val="true"/>
      <sz val="8"/>
      <color rgb="FF80808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b val="true"/>
      <sz val="9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C00000"/>
      <name val="맑은 고딕"/>
      <family val="0"/>
      <charset val="1"/>
    </font>
    <font>
      <b val="true"/>
      <sz val="11"/>
      <name val="Noto Sans CJK SC"/>
      <family val="2"/>
      <charset val="1"/>
    </font>
    <font>
      <b val="true"/>
      <sz val="12"/>
      <color rgb="FF305496"/>
      <name val="Noto Sans CJK SC"/>
      <family val="2"/>
      <charset val="1"/>
    </font>
    <font>
      <b val="true"/>
      <sz val="11"/>
      <color rgb="FF305496"/>
      <name val="Noto Sans CJK SC"/>
      <family val="2"/>
    </font>
    <font>
      <sz val="10"/>
      <color rgb="FF0000FF"/>
      <name val="Noto Sans CJK SC"/>
      <family val="2"/>
    </font>
    <font>
      <b val="true"/>
      <sz val="11"/>
      <color rgb="FF305496"/>
      <name val="Noto Sans CJK SC"/>
      <family val="2"/>
      <charset val="1"/>
    </font>
    <font>
      <b val="true"/>
      <sz val="11"/>
      <name val="맑은 고딕"/>
      <family val="0"/>
      <charset val="1"/>
    </font>
    <font>
      <b val="true"/>
      <sz val="12"/>
      <color rgb="FFFFFFFF"/>
      <name val="Noto Sans CJK SC"/>
      <family val="2"/>
      <charset val="1"/>
    </font>
    <font>
      <b val="true"/>
      <sz val="12"/>
      <color rgb="FFC00000"/>
      <name val="Noto Sans CJK SC"/>
      <family val="2"/>
      <charset val="1"/>
    </font>
    <font>
      <b val="true"/>
      <sz val="12"/>
      <color rgb="FFC00000"/>
      <name val="맑은 고딕"/>
      <family val="0"/>
      <charset val="1"/>
    </font>
    <font>
      <b val="true"/>
      <sz val="14"/>
      <color rgb="FFC00000"/>
      <name val="맑은 고딕"/>
      <family val="0"/>
      <charset val="1"/>
    </font>
    <font>
      <sz val="10"/>
      <name val="Noto Sans CJK SC"/>
      <family val="2"/>
    </font>
    <font>
      <b val="true"/>
      <sz val="9"/>
      <name val="맑은 고딕"/>
      <family val="0"/>
      <charset val="1"/>
    </font>
    <font>
      <b val="true"/>
      <sz val="9"/>
      <name val="Noto Sans CJK SC"/>
      <family val="2"/>
    </font>
  </fonts>
  <fills count="18">
    <fill>
      <patternFill patternType="none"/>
    </fill>
    <fill>
      <patternFill patternType="gray125"/>
    </fill>
    <fill>
      <patternFill patternType="solid">
        <fgColor rgb="FF2E4057"/>
        <bgColor rgb="FF375623"/>
      </patternFill>
    </fill>
    <fill>
      <patternFill patternType="solid">
        <fgColor rgb="FFF5F8FC"/>
        <bgColor rgb="FFF2F6FA"/>
      </patternFill>
    </fill>
    <fill>
      <patternFill patternType="solid">
        <fgColor rgb="FFD9E2F3"/>
        <bgColor rgb="FFD6E4F0"/>
      </patternFill>
    </fill>
    <fill>
      <patternFill patternType="solid">
        <fgColor rgb="FFF2F6FA"/>
        <bgColor rgb="FFF5F8FC"/>
      </patternFill>
    </fill>
    <fill>
      <patternFill patternType="solid">
        <fgColor rgb="FFF2F2F2"/>
        <bgColor rgb="FFF2F6FA"/>
      </patternFill>
    </fill>
    <fill>
      <patternFill patternType="solid">
        <fgColor rgb="FFFFF2CC"/>
        <bgColor rgb="FFFCE4D6"/>
      </patternFill>
    </fill>
    <fill>
      <patternFill patternType="solid">
        <fgColor rgb="FF305496"/>
        <bgColor rgb="FF2E4057"/>
      </patternFill>
    </fill>
    <fill>
      <patternFill patternType="solid">
        <fgColor rgb="FFDAEEF3"/>
        <bgColor rgb="FFD6E4F0"/>
      </patternFill>
    </fill>
    <fill>
      <patternFill patternType="solid">
        <fgColor rgb="FFE2EFDA"/>
        <bgColor rgb="FFD6F5D6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666699"/>
      </patternFill>
    </fill>
    <fill>
      <patternFill patternType="solid">
        <fgColor rgb="FFD6DCE4"/>
        <bgColor rgb="FFD9E2F3"/>
      </patternFill>
    </fill>
    <fill>
      <patternFill patternType="solid">
        <fgColor rgb="FFE8D5F5"/>
        <bgColor rgb="FFD6DCE4"/>
      </patternFill>
    </fill>
    <fill>
      <patternFill patternType="solid">
        <fgColor rgb="FFD6F5D6"/>
        <bgColor rgb="FFE2EFDA"/>
      </patternFill>
    </fill>
    <fill>
      <patternFill patternType="solid">
        <fgColor rgb="FFF4B084"/>
        <bgColor rgb="FFC0C0C0"/>
      </patternFill>
    </fill>
    <fill>
      <patternFill patternType="solid">
        <fgColor rgb="FFD6E4F0"/>
        <bgColor rgb="FFD9E2F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1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16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4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4057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D6E4F0"/>
      <rgbColor rgb="FF993366"/>
      <rgbColor rgb="FFFFF2CC"/>
      <rgbColor rgb="FFDAEEF3"/>
      <rgbColor rgb="FF660066"/>
      <rgbColor rgb="FFFF8080"/>
      <rgbColor rgb="FF0066CC"/>
      <rgbColor rgb="FFD0D0D0"/>
      <rgbColor rgb="FF000080"/>
      <rgbColor rgb="FFFF00FF"/>
      <rgbColor rgb="FFF2F6FA"/>
      <rgbColor rgb="FF00FFFF"/>
      <rgbColor rgb="FF800080"/>
      <rgbColor rgb="FF800000"/>
      <rgbColor rgb="FF008080"/>
      <rgbColor rgb="FF0000FF"/>
      <rgbColor rgb="FF00CCFF"/>
      <rgbColor rgb="FFE2EFDA"/>
      <rgbColor rgb="FFD6F5D6"/>
      <rgbColor rgb="FFFCE4D6"/>
      <rgbColor rgb="FFD6DCE4"/>
      <rgbColor rgb="FFD9E2F3"/>
      <rgbColor rgb="FFE8D5F5"/>
      <rgbColor rgb="FFF4B084"/>
      <rgbColor rgb="FF4472C4"/>
      <rgbColor rgb="FF33CCCC"/>
      <rgbColor rgb="FF92D050"/>
      <rgbColor rgb="FFFFC000"/>
      <rgbColor rgb="FFFF9900"/>
      <rgbColor rgb="FFFF6600"/>
      <rgbColor rgb="FF666699"/>
      <rgbColor rgb="FFF5F8FC"/>
      <rgbColor rgb="FF003366"/>
      <rgbColor rgb="FF339966"/>
      <rgbColor rgb="FF003300"/>
      <rgbColor rgb="FF375623"/>
      <rgbColor rgb="FF993300"/>
      <rgbColor rgb="FF993366"/>
      <rgbColor rgb="FF305496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60"/>
    <col collapsed="false" customWidth="true" hidden="false" outlineLevel="0" max="6" min="5" style="1" width="32"/>
    <col collapsed="false" customWidth="true" hidden="false" outlineLevel="0" max="7" min="7" style="1" width="18"/>
  </cols>
  <sheetData>
    <row r="1" customFormat="false" ht="29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39" hidden="false" customHeight="true" outlineLevel="0" collapsed="false">
      <c r="A2" s="4" t="n">
        <v>1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4" t="n">
        <v>8500</v>
      </c>
    </row>
    <row r="3" customFormat="false" ht="26.25" hidden="false" customHeight="true" outlineLevel="0" collapsed="false">
      <c r="A3" s="6" t="n">
        <v>2</v>
      </c>
      <c r="B3" s="7" t="s">
        <v>7</v>
      </c>
      <c r="C3" s="7" t="s">
        <v>12</v>
      </c>
      <c r="D3" s="7" t="s">
        <v>13</v>
      </c>
      <c r="E3" s="7" t="s">
        <v>14</v>
      </c>
      <c r="F3" s="7" t="s">
        <v>15</v>
      </c>
      <c r="G3" s="6" t="n">
        <v>12000</v>
      </c>
    </row>
    <row r="4" customFormat="false" ht="26.25" hidden="false" customHeight="true" outlineLevel="0" collapsed="false">
      <c r="A4" s="4" t="n">
        <v>3</v>
      </c>
      <c r="B4" s="5" t="s">
        <v>16</v>
      </c>
      <c r="C4" s="5" t="s">
        <v>17</v>
      </c>
      <c r="D4" s="5" t="s">
        <v>18</v>
      </c>
      <c r="E4" s="8" t="s">
        <v>19</v>
      </c>
      <c r="F4" s="5" t="s">
        <v>20</v>
      </c>
      <c r="G4" s="4" t="n">
        <v>35000</v>
      </c>
    </row>
    <row r="5" customFormat="false" ht="26.25" hidden="false" customHeight="true" outlineLevel="0" collapsed="false">
      <c r="A5" s="6" t="n">
        <v>4</v>
      </c>
      <c r="B5" s="7" t="s">
        <v>16</v>
      </c>
      <c r="C5" s="7" t="s">
        <v>21</v>
      </c>
      <c r="D5" s="7" t="s">
        <v>22</v>
      </c>
      <c r="E5" s="9" t="s">
        <v>23</v>
      </c>
      <c r="F5" s="7" t="s">
        <v>24</v>
      </c>
      <c r="G5" s="6" t="n">
        <v>5500</v>
      </c>
    </row>
    <row r="6" customFormat="false" ht="26.25" hidden="false" customHeight="true" outlineLevel="0" collapsed="false">
      <c r="A6" s="4" t="n">
        <v>5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4" t="n">
        <v>2000</v>
      </c>
    </row>
    <row r="7" customFormat="false" ht="26.25" hidden="false" customHeight="true" outlineLevel="0" collapsed="false">
      <c r="A7" s="6" t="n">
        <v>6</v>
      </c>
      <c r="B7" s="7" t="s">
        <v>25</v>
      </c>
      <c r="C7" s="7" t="s">
        <v>30</v>
      </c>
      <c r="D7" s="7" t="s">
        <v>31</v>
      </c>
      <c r="E7" s="7" t="s">
        <v>32</v>
      </c>
      <c r="F7" s="7" t="s">
        <v>33</v>
      </c>
      <c r="G7" s="6" t="n">
        <v>15000</v>
      </c>
    </row>
    <row r="8" customFormat="false" ht="26.25" hidden="false" customHeight="true" outlineLevel="0" collapsed="false">
      <c r="A8" s="4" t="n">
        <v>7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38</v>
      </c>
      <c r="G8" s="4" t="n">
        <v>22000</v>
      </c>
    </row>
    <row r="9" customFormat="false" ht="26.25" hidden="false" customHeight="true" outlineLevel="0" collapsed="false">
      <c r="A9" s="6" t="n">
        <v>8</v>
      </c>
      <c r="B9" s="7" t="s">
        <v>39</v>
      </c>
      <c r="C9" s="7" t="s">
        <v>40</v>
      </c>
      <c r="D9" s="7" t="s">
        <v>41</v>
      </c>
      <c r="E9" s="7" t="s">
        <v>42</v>
      </c>
      <c r="F9" s="7" t="s">
        <v>43</v>
      </c>
      <c r="G9" s="6" t="n">
        <v>3500</v>
      </c>
    </row>
    <row r="10" customFormat="false" ht="26.25" hidden="false" customHeight="true" outlineLevel="0" collapsed="false">
      <c r="A10" s="4" t="n">
        <v>9</v>
      </c>
      <c r="B10" s="5" t="s">
        <v>39</v>
      </c>
      <c r="C10" s="5" t="s">
        <v>44</v>
      </c>
      <c r="D10" s="5" t="s">
        <v>45</v>
      </c>
      <c r="E10" s="5" t="s">
        <v>46</v>
      </c>
      <c r="F10" s="5" t="s">
        <v>47</v>
      </c>
      <c r="G10" s="4" t="n">
        <v>9000</v>
      </c>
    </row>
    <row r="11" customFormat="false" ht="15" hidden="false" customHeight="true" outlineLevel="0" collapsed="false">
      <c r="A11" s="6" t="n">
        <v>10</v>
      </c>
      <c r="B11" s="7" t="s">
        <v>39</v>
      </c>
      <c r="C11" s="7" t="s">
        <v>48</v>
      </c>
      <c r="D11" s="7" t="s">
        <v>49</v>
      </c>
      <c r="E11" s="7" t="s">
        <v>50</v>
      </c>
      <c r="F11" s="7" t="s">
        <v>51</v>
      </c>
      <c r="G11" s="6" t="n">
        <v>4000</v>
      </c>
    </row>
    <row r="12" customFormat="false" ht="26.25" hidden="false" customHeight="true" outlineLevel="0" collapsed="false">
      <c r="A12" s="4" t="n">
        <v>11</v>
      </c>
      <c r="B12" s="5" t="s">
        <v>52</v>
      </c>
      <c r="C12" s="5" t="s">
        <v>53</v>
      </c>
      <c r="D12" s="5" t="s">
        <v>54</v>
      </c>
      <c r="E12" s="5" t="s">
        <v>55</v>
      </c>
      <c r="F12" s="5" t="s">
        <v>56</v>
      </c>
      <c r="G12" s="4" t="n">
        <v>8000</v>
      </c>
    </row>
    <row r="13" customFormat="false" ht="26.25" hidden="false" customHeight="true" outlineLevel="0" collapsed="false">
      <c r="A13" s="6" t="n">
        <v>12</v>
      </c>
      <c r="B13" s="7" t="s">
        <v>57</v>
      </c>
      <c r="C13" s="7" t="s">
        <v>58</v>
      </c>
      <c r="D13" s="7" t="s">
        <v>59</v>
      </c>
      <c r="E13" s="7" t="s">
        <v>60</v>
      </c>
      <c r="F13" s="7" t="s">
        <v>61</v>
      </c>
      <c r="G13" s="6" t="n">
        <v>7000</v>
      </c>
    </row>
    <row r="14" customFormat="false" ht="26.25" hidden="false" customHeight="true" outlineLevel="0" collapsed="false">
      <c r="A14" s="4" t="n">
        <v>13</v>
      </c>
      <c r="B14" s="5" t="s">
        <v>57</v>
      </c>
      <c r="C14" s="5" t="s">
        <v>62</v>
      </c>
      <c r="D14" s="5" t="s">
        <v>63</v>
      </c>
      <c r="E14" s="5" t="s">
        <v>64</v>
      </c>
      <c r="F14" s="5" t="s">
        <v>65</v>
      </c>
      <c r="G14" s="4" t="n">
        <v>4500</v>
      </c>
    </row>
    <row r="15" customFormat="false" ht="26.25" hidden="false" customHeight="true" outlineLevel="0" collapsed="false">
      <c r="A15" s="6" t="n">
        <v>14</v>
      </c>
      <c r="B15" s="7" t="s">
        <v>57</v>
      </c>
      <c r="C15" s="7" t="s">
        <v>66</v>
      </c>
      <c r="D15" s="7" t="s">
        <v>67</v>
      </c>
      <c r="E15" s="7" t="s">
        <v>68</v>
      </c>
      <c r="F15" s="7" t="s">
        <v>69</v>
      </c>
      <c r="G15" s="6" t="n">
        <v>6500</v>
      </c>
    </row>
    <row r="16" customFormat="false" ht="26.25" hidden="false" customHeight="true" outlineLevel="0" collapsed="false">
      <c r="A16" s="4" t="n">
        <v>15</v>
      </c>
      <c r="B16" s="5" t="s">
        <v>70</v>
      </c>
      <c r="C16" s="5" t="s">
        <v>70</v>
      </c>
      <c r="D16" s="5" t="s">
        <v>71</v>
      </c>
      <c r="E16" s="5" t="s">
        <v>72</v>
      </c>
      <c r="F16" s="5" t="s">
        <v>73</v>
      </c>
      <c r="G16" s="4" t="n">
        <v>11000</v>
      </c>
    </row>
    <row r="17" customFormat="false" ht="26.25" hidden="false" customHeight="true" outlineLevel="0" collapsed="false">
      <c r="A17" s="6" t="n">
        <v>16</v>
      </c>
      <c r="B17" s="7" t="s">
        <v>74</v>
      </c>
      <c r="C17" s="7" t="s">
        <v>75</v>
      </c>
      <c r="D17" s="7" t="s">
        <v>76</v>
      </c>
      <c r="E17" s="7" t="s">
        <v>77</v>
      </c>
      <c r="F17" s="7" t="s">
        <v>78</v>
      </c>
      <c r="G17" s="6" t="n">
        <v>12000</v>
      </c>
    </row>
    <row r="18" customFormat="false" ht="26.25" hidden="false" customHeight="true" outlineLevel="0" collapsed="false">
      <c r="A18" s="4" t="n">
        <v>17</v>
      </c>
      <c r="B18" s="5" t="s">
        <v>74</v>
      </c>
      <c r="C18" s="5" t="s">
        <v>79</v>
      </c>
      <c r="D18" s="5" t="s">
        <v>80</v>
      </c>
      <c r="E18" s="5" t="s">
        <v>81</v>
      </c>
      <c r="F18" s="5" t="s">
        <v>82</v>
      </c>
      <c r="G18" s="4" t="n">
        <v>3500</v>
      </c>
    </row>
    <row r="19" customFormat="false" ht="26.25" hidden="false" customHeight="true" outlineLevel="0" collapsed="false">
      <c r="A19" s="6" t="n">
        <v>18</v>
      </c>
      <c r="B19" s="7" t="s">
        <v>74</v>
      </c>
      <c r="C19" s="7" t="s">
        <v>83</v>
      </c>
      <c r="D19" s="7" t="s">
        <v>84</v>
      </c>
      <c r="E19" s="7" t="s">
        <v>85</v>
      </c>
      <c r="F19" s="7" t="s">
        <v>86</v>
      </c>
      <c r="G19" s="6" t="n">
        <v>3000</v>
      </c>
    </row>
  </sheetData>
  <autoFilter ref="A1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8" min="6" style="1" width="28"/>
    <col collapsed="false" customWidth="true" hidden="false" outlineLevel="0" max="12" min="9" style="1" width="25"/>
    <col collapsed="false" customWidth="true" hidden="false" outlineLevel="0" max="15" min="13" style="1" width="8"/>
    <col collapsed="false" customWidth="true" hidden="false" outlineLevel="0" max="16" min="16" style="1" width="14"/>
  </cols>
  <sheetData>
    <row r="1" customFormat="false" ht="29.25" hidden="false" customHeight="true" outlineLevel="0" collapsed="false">
      <c r="A1" s="10" t="s">
        <v>0</v>
      </c>
      <c r="B1" s="11" t="s">
        <v>1</v>
      </c>
      <c r="C1" s="11" t="s">
        <v>87</v>
      </c>
      <c r="D1" s="11" t="s">
        <v>88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95</v>
      </c>
      <c r="L1" s="11" t="s">
        <v>96</v>
      </c>
      <c r="M1" s="11" t="s">
        <v>97</v>
      </c>
      <c r="N1" s="11" t="s">
        <v>98</v>
      </c>
      <c r="O1" s="11" t="s">
        <v>99</v>
      </c>
      <c r="P1" s="11" t="s">
        <v>100</v>
      </c>
      <c r="Q1" s="12" t="s">
        <v>101</v>
      </c>
      <c r="R1" s="12" t="s">
        <v>102</v>
      </c>
      <c r="S1" s="13" t="s">
        <v>103</v>
      </c>
      <c r="T1" s="12" t="s">
        <v>104</v>
      </c>
    </row>
    <row r="2" customFormat="false" ht="15" hidden="false" customHeight="true" outlineLevel="0" collapsed="false">
      <c r="A2" s="14" t="n">
        <v>1</v>
      </c>
      <c r="B2" s="15" t="s">
        <v>105</v>
      </c>
      <c r="C2" s="16" t="s">
        <v>8</v>
      </c>
      <c r="D2" s="16" t="s">
        <v>106</v>
      </c>
      <c r="E2" s="16" t="s">
        <v>107</v>
      </c>
      <c r="F2" s="16" t="s">
        <v>108</v>
      </c>
      <c r="G2" s="16" t="s">
        <v>109</v>
      </c>
      <c r="H2" s="14" t="s">
        <v>110</v>
      </c>
      <c r="I2" s="14" t="s">
        <v>110</v>
      </c>
      <c r="J2" s="14" t="s">
        <v>110</v>
      </c>
      <c r="K2" s="14" t="s">
        <v>110</v>
      </c>
      <c r="L2" s="14" t="s">
        <v>110</v>
      </c>
      <c r="M2" s="14" t="n">
        <v>1000</v>
      </c>
      <c r="N2" s="14" t="s">
        <v>111</v>
      </c>
      <c r="O2" s="14" t="n">
        <v>3500</v>
      </c>
      <c r="P2" s="15" t="s">
        <v>112</v>
      </c>
    </row>
    <row r="3" customFormat="false" ht="15" hidden="false" customHeight="true" outlineLevel="0" collapsed="false">
      <c r="A3" s="17" t="n">
        <v>2</v>
      </c>
      <c r="B3" s="18" t="s">
        <v>105</v>
      </c>
      <c r="C3" s="19" t="s">
        <v>8</v>
      </c>
      <c r="D3" s="19" t="s">
        <v>113</v>
      </c>
      <c r="E3" s="19" t="s">
        <v>114</v>
      </c>
      <c r="F3" s="19" t="s">
        <v>115</v>
      </c>
      <c r="G3" s="19" t="s">
        <v>116</v>
      </c>
      <c r="H3" s="17" t="s">
        <v>110</v>
      </c>
      <c r="I3" s="17" t="s">
        <v>110</v>
      </c>
      <c r="J3" s="17" t="s">
        <v>110</v>
      </c>
      <c r="K3" s="17" t="s">
        <v>110</v>
      </c>
      <c r="L3" s="17" t="s">
        <v>110</v>
      </c>
      <c r="M3" s="17" t="n">
        <v>1000</v>
      </c>
      <c r="N3" s="17" t="s">
        <v>111</v>
      </c>
      <c r="O3" s="17" t="n">
        <v>3500</v>
      </c>
      <c r="P3" s="18" t="s">
        <v>112</v>
      </c>
    </row>
    <row r="4" customFormat="false" ht="15" hidden="false" customHeight="true" outlineLevel="0" collapsed="false">
      <c r="A4" s="14" t="n">
        <v>3</v>
      </c>
      <c r="B4" s="15" t="s">
        <v>105</v>
      </c>
      <c r="C4" s="16" t="s">
        <v>8</v>
      </c>
      <c r="D4" s="16" t="s">
        <v>117</v>
      </c>
      <c r="E4" s="16" t="s">
        <v>118</v>
      </c>
      <c r="F4" s="16" t="s">
        <v>119</v>
      </c>
      <c r="G4" s="20" t="s">
        <v>110</v>
      </c>
      <c r="H4" s="14" t="s">
        <v>110</v>
      </c>
      <c r="I4" s="14" t="s">
        <v>110</v>
      </c>
      <c r="J4" s="14" t="s">
        <v>110</v>
      </c>
      <c r="K4" s="14" t="s">
        <v>110</v>
      </c>
      <c r="L4" s="14" t="s">
        <v>110</v>
      </c>
      <c r="M4" s="14" t="n">
        <v>190</v>
      </c>
      <c r="N4" s="15" t="s">
        <v>120</v>
      </c>
      <c r="O4" s="14" t="n">
        <v>2500</v>
      </c>
      <c r="P4" s="14" t="s">
        <v>121</v>
      </c>
    </row>
    <row r="5" customFormat="false" ht="15" hidden="false" customHeight="true" outlineLevel="0" collapsed="false">
      <c r="A5" s="17" t="n">
        <v>4</v>
      </c>
      <c r="B5" s="18" t="s">
        <v>105</v>
      </c>
      <c r="C5" s="19" t="s">
        <v>8</v>
      </c>
      <c r="D5" s="19" t="s">
        <v>122</v>
      </c>
      <c r="E5" s="19" t="s">
        <v>123</v>
      </c>
      <c r="F5" s="19" t="s">
        <v>124</v>
      </c>
      <c r="G5" s="21" t="s">
        <v>110</v>
      </c>
      <c r="H5" s="17" t="s">
        <v>110</v>
      </c>
      <c r="I5" s="17" t="s">
        <v>110</v>
      </c>
      <c r="J5" s="17" t="s">
        <v>110</v>
      </c>
      <c r="K5" s="17" t="s">
        <v>110</v>
      </c>
      <c r="L5" s="17" t="s">
        <v>110</v>
      </c>
      <c r="M5" s="17" t="n">
        <v>200</v>
      </c>
      <c r="N5" s="18" t="s">
        <v>125</v>
      </c>
      <c r="O5" s="17" t="n">
        <v>1800</v>
      </c>
      <c r="P5" s="17" t="s">
        <v>126</v>
      </c>
    </row>
    <row r="6" customFormat="false" ht="15" hidden="false" customHeight="true" outlineLevel="0" collapsed="false">
      <c r="A6" s="14" t="n">
        <v>5</v>
      </c>
      <c r="B6" s="15" t="s">
        <v>105</v>
      </c>
      <c r="C6" s="16" t="s">
        <v>8</v>
      </c>
      <c r="D6" s="16" t="s">
        <v>127</v>
      </c>
      <c r="E6" s="16" t="s">
        <v>128</v>
      </c>
      <c r="F6" s="16" t="s">
        <v>129</v>
      </c>
      <c r="G6" s="16" t="s">
        <v>130</v>
      </c>
      <c r="H6" s="14" t="s">
        <v>110</v>
      </c>
      <c r="I6" s="14" t="s">
        <v>110</v>
      </c>
      <c r="J6" s="14" t="s">
        <v>110</v>
      </c>
      <c r="K6" s="14" t="s">
        <v>110</v>
      </c>
      <c r="L6" s="14" t="s">
        <v>110</v>
      </c>
      <c r="M6" s="14" t="n">
        <v>200</v>
      </c>
      <c r="N6" s="15" t="s">
        <v>131</v>
      </c>
      <c r="O6" s="14" t="n">
        <v>900</v>
      </c>
      <c r="P6" s="14"/>
    </row>
    <row r="7" customFormat="false" ht="15" hidden="false" customHeight="true" outlineLevel="0" collapsed="false">
      <c r="A7" s="17" t="n">
        <v>6</v>
      </c>
      <c r="B7" s="18" t="s">
        <v>105</v>
      </c>
      <c r="C7" s="19" t="s">
        <v>8</v>
      </c>
      <c r="D7" s="19" t="s">
        <v>132</v>
      </c>
      <c r="E7" s="19" t="s">
        <v>133</v>
      </c>
      <c r="F7" s="19" t="s">
        <v>134</v>
      </c>
      <c r="G7" s="19" t="s">
        <v>135</v>
      </c>
      <c r="H7" s="17" t="s">
        <v>110</v>
      </c>
      <c r="I7" s="17" t="s">
        <v>110</v>
      </c>
      <c r="J7" s="17" t="s">
        <v>110</v>
      </c>
      <c r="K7" s="17" t="s">
        <v>110</v>
      </c>
      <c r="L7" s="17" t="s">
        <v>110</v>
      </c>
      <c r="M7" s="17" t="n">
        <v>1000</v>
      </c>
      <c r="N7" s="17" t="s">
        <v>111</v>
      </c>
      <c r="O7" s="17" t="n">
        <v>4500</v>
      </c>
      <c r="P7" s="17"/>
    </row>
    <row r="8" customFormat="false" ht="15" hidden="false" customHeight="true" outlineLevel="0" collapsed="false">
      <c r="A8" s="14" t="n">
        <v>7</v>
      </c>
      <c r="B8" s="15" t="s">
        <v>105</v>
      </c>
      <c r="C8" s="16" t="s">
        <v>8</v>
      </c>
      <c r="D8" s="16" t="s">
        <v>136</v>
      </c>
      <c r="E8" s="16" t="s">
        <v>137</v>
      </c>
      <c r="F8" s="16" t="s">
        <v>138</v>
      </c>
      <c r="G8" s="16" t="s">
        <v>109</v>
      </c>
      <c r="H8" s="14" t="s">
        <v>110</v>
      </c>
      <c r="I8" s="14" t="s">
        <v>110</v>
      </c>
      <c r="J8" s="14" t="s">
        <v>110</v>
      </c>
      <c r="K8" s="14" t="s">
        <v>110</v>
      </c>
      <c r="L8" s="14" t="s">
        <v>110</v>
      </c>
      <c r="M8" s="14" t="n">
        <v>1000</v>
      </c>
      <c r="N8" s="14" t="s">
        <v>111</v>
      </c>
      <c r="O8" s="14" t="n">
        <v>3800</v>
      </c>
      <c r="P8" s="14"/>
    </row>
    <row r="9" customFormat="false" ht="15" hidden="false" customHeight="true" outlineLevel="0" collapsed="false">
      <c r="A9" s="17" t="n">
        <v>8</v>
      </c>
      <c r="B9" s="18" t="s">
        <v>105</v>
      </c>
      <c r="C9" s="19" t="s">
        <v>8</v>
      </c>
      <c r="D9" s="19" t="s">
        <v>139</v>
      </c>
      <c r="E9" s="19" t="s">
        <v>114</v>
      </c>
      <c r="F9" s="19" t="s">
        <v>140</v>
      </c>
      <c r="G9" s="19" t="s">
        <v>109</v>
      </c>
      <c r="H9" s="17" t="s">
        <v>110</v>
      </c>
      <c r="I9" s="17" t="s">
        <v>110</v>
      </c>
      <c r="J9" s="17" t="s">
        <v>110</v>
      </c>
      <c r="K9" s="17" t="s">
        <v>110</v>
      </c>
      <c r="L9" s="17" t="s">
        <v>110</v>
      </c>
      <c r="M9" s="17" t="n">
        <v>1000</v>
      </c>
      <c r="N9" s="17" t="s">
        <v>111</v>
      </c>
      <c r="O9" s="17" t="n">
        <v>3800</v>
      </c>
      <c r="P9" s="17"/>
    </row>
    <row r="10" customFormat="false" ht="15" hidden="false" customHeight="true" outlineLevel="0" collapsed="false">
      <c r="A10" s="14" t="n">
        <v>9</v>
      </c>
      <c r="B10" s="15" t="s">
        <v>105</v>
      </c>
      <c r="C10" s="16" t="s">
        <v>8</v>
      </c>
      <c r="D10" s="16" t="s">
        <v>141</v>
      </c>
      <c r="E10" s="16" t="s">
        <v>142</v>
      </c>
      <c r="F10" s="16" t="s">
        <v>143</v>
      </c>
      <c r="G10" s="16" t="s">
        <v>144</v>
      </c>
      <c r="H10" s="15" t="s">
        <v>145</v>
      </c>
      <c r="I10" s="15" t="s">
        <v>146</v>
      </c>
      <c r="J10" s="15" t="s">
        <v>147</v>
      </c>
      <c r="K10" s="15" t="s">
        <v>148</v>
      </c>
      <c r="L10" s="15" t="s">
        <v>149</v>
      </c>
      <c r="M10" s="14" t="n">
        <v>130</v>
      </c>
      <c r="N10" s="14" t="s">
        <v>111</v>
      </c>
      <c r="O10" s="14" t="n">
        <v>1500</v>
      </c>
      <c r="P10" s="15" t="s">
        <v>150</v>
      </c>
    </row>
    <row r="11" customFormat="false" ht="15" hidden="false" customHeight="true" outlineLevel="0" collapsed="false">
      <c r="A11" s="17" t="n">
        <v>10</v>
      </c>
      <c r="B11" s="18" t="s">
        <v>105</v>
      </c>
      <c r="C11" s="19" t="s">
        <v>8</v>
      </c>
      <c r="D11" s="19" t="s">
        <v>151</v>
      </c>
      <c r="E11" s="19" t="s">
        <v>142</v>
      </c>
      <c r="F11" s="19" t="s">
        <v>152</v>
      </c>
      <c r="G11" s="19" t="s">
        <v>153</v>
      </c>
      <c r="H11" s="18" t="s">
        <v>154</v>
      </c>
      <c r="I11" s="18" t="s">
        <v>145</v>
      </c>
      <c r="J11" s="18" t="s">
        <v>155</v>
      </c>
      <c r="K11" s="18" t="s">
        <v>147</v>
      </c>
      <c r="L11" s="18" t="s">
        <v>156</v>
      </c>
      <c r="M11" s="17" t="n">
        <v>130</v>
      </c>
      <c r="N11" s="17" t="s">
        <v>111</v>
      </c>
      <c r="O11" s="17" t="n">
        <v>1500</v>
      </c>
      <c r="P11" s="18" t="s">
        <v>157</v>
      </c>
    </row>
    <row r="12" customFormat="false" ht="21.75" hidden="false" customHeight="true" outlineLevel="0" collapsed="false">
      <c r="A12" s="14" t="n">
        <v>11</v>
      </c>
      <c r="B12" s="15" t="s">
        <v>105</v>
      </c>
      <c r="C12" s="16" t="s">
        <v>8</v>
      </c>
      <c r="D12" s="16" t="s">
        <v>158</v>
      </c>
      <c r="E12" s="16" t="s">
        <v>159</v>
      </c>
      <c r="F12" s="16" t="s">
        <v>160</v>
      </c>
      <c r="G12" s="16" t="s">
        <v>146</v>
      </c>
      <c r="H12" s="15" t="s">
        <v>161</v>
      </c>
      <c r="I12" s="15" t="s">
        <v>162</v>
      </c>
      <c r="J12" s="15" t="s">
        <v>163</v>
      </c>
      <c r="K12" s="15" t="s">
        <v>164</v>
      </c>
      <c r="L12" s="15" t="s">
        <v>165</v>
      </c>
      <c r="M12" s="14" t="n">
        <v>240</v>
      </c>
      <c r="N12" s="14" t="s">
        <v>166</v>
      </c>
      <c r="O12" s="14" t="n">
        <v>1200</v>
      </c>
      <c r="P12" s="14" t="s">
        <v>167</v>
      </c>
    </row>
    <row r="13" customFormat="false" ht="15" hidden="false" customHeight="true" outlineLevel="0" collapsed="false">
      <c r="A13" s="17" t="n">
        <v>12</v>
      </c>
      <c r="B13" s="18" t="s">
        <v>105</v>
      </c>
      <c r="C13" s="19" t="s">
        <v>8</v>
      </c>
      <c r="D13" s="19" t="s">
        <v>168</v>
      </c>
      <c r="E13" s="19" t="s">
        <v>169</v>
      </c>
      <c r="F13" s="19" t="s">
        <v>170</v>
      </c>
      <c r="G13" s="21" t="s">
        <v>110</v>
      </c>
      <c r="H13" s="17" t="s">
        <v>110</v>
      </c>
      <c r="I13" s="17" t="s">
        <v>110</v>
      </c>
      <c r="J13" s="17" t="s">
        <v>110</v>
      </c>
      <c r="K13" s="17" t="s">
        <v>110</v>
      </c>
      <c r="L13" s="17" t="s">
        <v>110</v>
      </c>
      <c r="M13" s="17" t="n">
        <v>190</v>
      </c>
      <c r="N13" s="18" t="s">
        <v>120</v>
      </c>
      <c r="O13" s="17" t="n">
        <v>2800</v>
      </c>
      <c r="P13" s="17" t="s">
        <v>121</v>
      </c>
    </row>
    <row r="14" customFormat="false" ht="15" hidden="false" customHeight="true" outlineLevel="0" collapsed="false">
      <c r="A14" s="14" t="n">
        <v>13</v>
      </c>
      <c r="B14" s="15" t="s">
        <v>105</v>
      </c>
      <c r="C14" s="16" t="s">
        <v>12</v>
      </c>
      <c r="D14" s="16" t="s">
        <v>171</v>
      </c>
      <c r="E14" s="16" t="s">
        <v>137</v>
      </c>
      <c r="F14" s="16" t="s">
        <v>155</v>
      </c>
      <c r="G14" s="16" t="s">
        <v>172</v>
      </c>
      <c r="H14" s="15" t="s">
        <v>173</v>
      </c>
      <c r="I14" s="15" t="s">
        <v>174</v>
      </c>
      <c r="J14" s="15" t="s">
        <v>175</v>
      </c>
      <c r="K14" s="15" t="s">
        <v>165</v>
      </c>
      <c r="L14" s="15" t="s">
        <v>176</v>
      </c>
      <c r="M14" s="14" t="n">
        <v>240</v>
      </c>
      <c r="N14" s="15" t="s">
        <v>177</v>
      </c>
      <c r="O14" s="14" t="n">
        <v>800</v>
      </c>
      <c r="P14" s="14"/>
    </row>
    <row r="15" customFormat="false" ht="15" hidden="false" customHeight="true" outlineLevel="0" collapsed="false">
      <c r="A15" s="17" t="n">
        <v>14</v>
      </c>
      <c r="B15" s="18" t="s">
        <v>105</v>
      </c>
      <c r="C15" s="19" t="s">
        <v>12</v>
      </c>
      <c r="D15" s="19" t="s">
        <v>178</v>
      </c>
      <c r="E15" s="19" t="s">
        <v>179</v>
      </c>
      <c r="F15" s="19" t="s">
        <v>180</v>
      </c>
      <c r="G15" s="19" t="s">
        <v>181</v>
      </c>
      <c r="H15" s="18" t="s">
        <v>182</v>
      </c>
      <c r="I15" s="18" t="s">
        <v>174</v>
      </c>
      <c r="J15" s="18" t="s">
        <v>165</v>
      </c>
      <c r="K15" s="18" t="s">
        <v>183</v>
      </c>
      <c r="L15" s="17" t="s">
        <v>110</v>
      </c>
      <c r="M15" s="17" t="n">
        <v>200</v>
      </c>
      <c r="N15" s="18" t="s">
        <v>125</v>
      </c>
      <c r="O15" s="17" t="n">
        <v>700</v>
      </c>
      <c r="P15" s="18" t="s">
        <v>184</v>
      </c>
    </row>
    <row r="16" customFormat="false" ht="15" hidden="false" customHeight="true" outlineLevel="0" collapsed="false">
      <c r="A16" s="14" t="n">
        <v>15</v>
      </c>
      <c r="B16" s="15" t="s">
        <v>105</v>
      </c>
      <c r="C16" s="16" t="s">
        <v>12</v>
      </c>
      <c r="D16" s="16" t="s">
        <v>185</v>
      </c>
      <c r="E16" s="16" t="s">
        <v>137</v>
      </c>
      <c r="F16" s="16" t="s">
        <v>186</v>
      </c>
      <c r="G16" s="16" t="s">
        <v>187</v>
      </c>
      <c r="H16" s="15" t="s">
        <v>188</v>
      </c>
      <c r="I16" s="15" t="s">
        <v>189</v>
      </c>
      <c r="J16" s="15" t="s">
        <v>174</v>
      </c>
      <c r="K16" s="15" t="s">
        <v>190</v>
      </c>
      <c r="L16" s="15" t="s">
        <v>191</v>
      </c>
      <c r="M16" s="14" t="n">
        <v>500</v>
      </c>
      <c r="N16" s="14" t="s">
        <v>111</v>
      </c>
      <c r="O16" s="14" t="n">
        <v>1800</v>
      </c>
      <c r="P16" s="15" t="s">
        <v>192</v>
      </c>
    </row>
    <row r="17" customFormat="false" ht="15" hidden="false" customHeight="true" outlineLevel="0" collapsed="false">
      <c r="A17" s="17" t="n">
        <v>16</v>
      </c>
      <c r="B17" s="18" t="s">
        <v>105</v>
      </c>
      <c r="C17" s="19" t="s">
        <v>12</v>
      </c>
      <c r="D17" s="19" t="s">
        <v>193</v>
      </c>
      <c r="E17" s="19" t="s">
        <v>107</v>
      </c>
      <c r="F17" s="19" t="s">
        <v>194</v>
      </c>
      <c r="G17" s="19" t="s">
        <v>195</v>
      </c>
      <c r="H17" s="18" t="s">
        <v>161</v>
      </c>
      <c r="I17" s="18" t="s">
        <v>196</v>
      </c>
      <c r="J17" s="18" t="s">
        <v>174</v>
      </c>
      <c r="K17" s="18" t="s">
        <v>190</v>
      </c>
      <c r="L17" s="17" t="s">
        <v>110</v>
      </c>
      <c r="M17" s="17" t="n">
        <v>350</v>
      </c>
      <c r="N17" s="18" t="s">
        <v>177</v>
      </c>
      <c r="O17" s="17" t="n">
        <v>1500</v>
      </c>
      <c r="P17" s="18" t="s">
        <v>197</v>
      </c>
    </row>
    <row r="18" customFormat="false" ht="15" hidden="false" customHeight="true" outlineLevel="0" collapsed="false">
      <c r="A18" s="14" t="n">
        <v>17</v>
      </c>
      <c r="B18" s="15" t="s">
        <v>105</v>
      </c>
      <c r="C18" s="16" t="s">
        <v>12</v>
      </c>
      <c r="D18" s="16" t="s">
        <v>198</v>
      </c>
      <c r="E18" s="16" t="s">
        <v>114</v>
      </c>
      <c r="F18" s="16" t="s">
        <v>130</v>
      </c>
      <c r="G18" s="16" t="s">
        <v>188</v>
      </c>
      <c r="H18" s="15" t="s">
        <v>199</v>
      </c>
      <c r="I18" s="15" t="s">
        <v>196</v>
      </c>
      <c r="J18" s="15" t="s">
        <v>200</v>
      </c>
      <c r="K18" s="15" t="s">
        <v>201</v>
      </c>
      <c r="L18" s="15" t="s">
        <v>202</v>
      </c>
      <c r="M18" s="14" t="n">
        <v>355</v>
      </c>
      <c r="N18" s="15" t="s">
        <v>177</v>
      </c>
      <c r="O18" s="14" t="n">
        <v>1500</v>
      </c>
      <c r="P18" s="14"/>
    </row>
    <row r="19" customFormat="false" ht="15" hidden="false" customHeight="true" outlineLevel="0" collapsed="false">
      <c r="A19" s="17" t="n">
        <v>18</v>
      </c>
      <c r="B19" s="18" t="s">
        <v>105</v>
      </c>
      <c r="C19" s="19" t="s">
        <v>12</v>
      </c>
      <c r="D19" s="19" t="s">
        <v>203</v>
      </c>
      <c r="E19" s="19" t="s">
        <v>204</v>
      </c>
      <c r="F19" s="19" t="s">
        <v>205</v>
      </c>
      <c r="G19" s="19" t="s">
        <v>206</v>
      </c>
      <c r="H19" s="18" t="s">
        <v>207</v>
      </c>
      <c r="I19" s="18" t="s">
        <v>208</v>
      </c>
      <c r="J19" s="18" t="s">
        <v>165</v>
      </c>
      <c r="K19" s="18" t="s">
        <v>209</v>
      </c>
      <c r="L19" s="17" t="s">
        <v>110</v>
      </c>
      <c r="M19" s="17" t="n">
        <v>210</v>
      </c>
      <c r="N19" s="17" t="s">
        <v>111</v>
      </c>
      <c r="O19" s="17" t="n">
        <v>1800</v>
      </c>
      <c r="P19" s="18" t="s">
        <v>210</v>
      </c>
    </row>
    <row r="20" customFormat="false" ht="15" hidden="false" customHeight="true" outlineLevel="0" collapsed="false">
      <c r="A20" s="14" t="n">
        <v>19</v>
      </c>
      <c r="B20" s="15" t="s">
        <v>105</v>
      </c>
      <c r="C20" s="16" t="s">
        <v>12</v>
      </c>
      <c r="D20" s="16" t="s">
        <v>211</v>
      </c>
      <c r="E20" s="16" t="s">
        <v>114</v>
      </c>
      <c r="F20" s="16" t="s">
        <v>212</v>
      </c>
      <c r="G20" s="16" t="s">
        <v>213</v>
      </c>
      <c r="H20" s="15" t="s">
        <v>208</v>
      </c>
      <c r="I20" s="15" t="s">
        <v>202</v>
      </c>
      <c r="J20" s="15" t="s">
        <v>214</v>
      </c>
      <c r="K20" s="14" t="s">
        <v>110</v>
      </c>
      <c r="L20" s="14" t="s">
        <v>110</v>
      </c>
      <c r="M20" s="14" t="n">
        <v>190</v>
      </c>
      <c r="N20" s="14" t="s">
        <v>111</v>
      </c>
      <c r="O20" s="14" t="n">
        <v>1500</v>
      </c>
      <c r="P20" s="15" t="s">
        <v>215</v>
      </c>
    </row>
    <row r="21" customFormat="false" ht="15" hidden="false" customHeight="true" outlineLevel="0" collapsed="false">
      <c r="A21" s="17" t="n">
        <v>20</v>
      </c>
      <c r="B21" s="18" t="s">
        <v>105</v>
      </c>
      <c r="C21" s="19" t="s">
        <v>12</v>
      </c>
      <c r="D21" s="21" t="s">
        <v>216</v>
      </c>
      <c r="E21" s="19" t="s">
        <v>118</v>
      </c>
      <c r="F21" s="19" t="s">
        <v>217</v>
      </c>
      <c r="G21" s="19" t="s">
        <v>218</v>
      </c>
      <c r="H21" s="18" t="s">
        <v>219</v>
      </c>
      <c r="I21" s="17" t="s">
        <v>110</v>
      </c>
      <c r="J21" s="17" t="s">
        <v>110</v>
      </c>
      <c r="K21" s="17" t="s">
        <v>110</v>
      </c>
      <c r="L21" s="17" t="s">
        <v>110</v>
      </c>
      <c r="M21" s="17" t="n">
        <v>200</v>
      </c>
      <c r="N21" s="18" t="s">
        <v>125</v>
      </c>
      <c r="O21" s="17" t="n">
        <v>2500</v>
      </c>
      <c r="P21" s="17" t="s">
        <v>126</v>
      </c>
    </row>
    <row r="22" customFormat="false" ht="15" hidden="false" customHeight="true" outlineLevel="0" collapsed="false">
      <c r="A22" s="14" t="n">
        <v>21</v>
      </c>
      <c r="B22" s="15" t="s">
        <v>105</v>
      </c>
      <c r="C22" s="16" t="s">
        <v>12</v>
      </c>
      <c r="D22" s="16" t="s">
        <v>220</v>
      </c>
      <c r="E22" s="16" t="s">
        <v>221</v>
      </c>
      <c r="F22" s="16" t="s">
        <v>116</v>
      </c>
      <c r="G22" s="16" t="s">
        <v>172</v>
      </c>
      <c r="H22" s="15" t="s">
        <v>222</v>
      </c>
      <c r="I22" s="15" t="s">
        <v>223</v>
      </c>
      <c r="J22" s="15" t="s">
        <v>224</v>
      </c>
      <c r="K22" s="15" t="s">
        <v>225</v>
      </c>
      <c r="L22" s="15" t="s">
        <v>226</v>
      </c>
      <c r="M22" s="14" t="n">
        <v>345</v>
      </c>
      <c r="N22" s="14" t="s">
        <v>111</v>
      </c>
      <c r="O22" s="14" t="n">
        <v>1200</v>
      </c>
      <c r="P22" s="14"/>
    </row>
    <row r="23" customFormat="false" ht="15" hidden="false" customHeight="true" outlineLevel="0" collapsed="false">
      <c r="A23" s="17" t="n">
        <v>22</v>
      </c>
      <c r="B23" s="18" t="s">
        <v>105</v>
      </c>
      <c r="C23" s="19" t="s">
        <v>12</v>
      </c>
      <c r="D23" s="19" t="s">
        <v>227</v>
      </c>
      <c r="E23" s="19" t="s">
        <v>114</v>
      </c>
      <c r="F23" s="19" t="s">
        <v>228</v>
      </c>
      <c r="G23" s="19" t="s">
        <v>229</v>
      </c>
      <c r="H23" s="18" t="s">
        <v>188</v>
      </c>
      <c r="I23" s="18" t="s">
        <v>230</v>
      </c>
      <c r="J23" s="18" t="s">
        <v>174</v>
      </c>
      <c r="K23" s="18" t="s">
        <v>231</v>
      </c>
      <c r="L23" s="17" t="s">
        <v>232</v>
      </c>
      <c r="M23" s="17" t="n">
        <v>500</v>
      </c>
      <c r="N23" s="17" t="s">
        <v>233</v>
      </c>
      <c r="O23" s="17" t="n">
        <v>1800</v>
      </c>
      <c r="P23" s="17" t="s">
        <v>234</v>
      </c>
    </row>
    <row r="24" customFormat="false" ht="15" hidden="false" customHeight="true" outlineLevel="0" collapsed="false">
      <c r="A24" s="14" t="n">
        <v>23</v>
      </c>
      <c r="B24" s="15" t="s">
        <v>105</v>
      </c>
      <c r="C24" s="16" t="s">
        <v>12</v>
      </c>
      <c r="D24" s="16" t="s">
        <v>235</v>
      </c>
      <c r="E24" s="16" t="s">
        <v>179</v>
      </c>
      <c r="F24" s="16" t="s">
        <v>194</v>
      </c>
      <c r="G24" s="16" t="s">
        <v>236</v>
      </c>
      <c r="H24" s="15" t="s">
        <v>172</v>
      </c>
      <c r="I24" s="15" t="s">
        <v>224</v>
      </c>
      <c r="J24" s="15" t="s">
        <v>190</v>
      </c>
      <c r="K24" s="15" t="s">
        <v>191</v>
      </c>
      <c r="L24" s="15" t="s">
        <v>202</v>
      </c>
      <c r="M24" s="14" t="n">
        <v>355</v>
      </c>
      <c r="N24" s="15" t="s">
        <v>177</v>
      </c>
      <c r="O24" s="14" t="n">
        <v>1500</v>
      </c>
      <c r="P24" s="14"/>
    </row>
    <row r="25" customFormat="false" ht="15" hidden="false" customHeight="true" outlineLevel="0" collapsed="false">
      <c r="A25" s="17" t="n">
        <v>24</v>
      </c>
      <c r="B25" s="18" t="s">
        <v>105</v>
      </c>
      <c r="C25" s="19" t="s">
        <v>12</v>
      </c>
      <c r="D25" s="19" t="s">
        <v>237</v>
      </c>
      <c r="E25" s="19" t="s">
        <v>137</v>
      </c>
      <c r="F25" s="19" t="s">
        <v>205</v>
      </c>
      <c r="G25" s="19" t="s">
        <v>238</v>
      </c>
      <c r="H25" s="18" t="s">
        <v>172</v>
      </c>
      <c r="I25" s="18" t="s">
        <v>239</v>
      </c>
      <c r="J25" s="18" t="s">
        <v>174</v>
      </c>
      <c r="K25" s="18" t="s">
        <v>240</v>
      </c>
      <c r="L25" s="18" t="s">
        <v>176</v>
      </c>
      <c r="M25" s="17" t="n">
        <v>340</v>
      </c>
      <c r="N25" s="18" t="s">
        <v>177</v>
      </c>
      <c r="O25" s="17" t="n">
        <v>1500</v>
      </c>
      <c r="P25" s="18" t="s">
        <v>192</v>
      </c>
    </row>
    <row r="26" customFormat="false" ht="15" hidden="false" customHeight="true" outlineLevel="0" collapsed="false">
      <c r="A26" s="14" t="n">
        <v>25</v>
      </c>
      <c r="B26" s="15" t="s">
        <v>16</v>
      </c>
      <c r="C26" s="16" t="s">
        <v>17</v>
      </c>
      <c r="D26" s="16" t="s">
        <v>241</v>
      </c>
      <c r="E26" s="16" t="s">
        <v>107</v>
      </c>
      <c r="F26" s="16" t="s">
        <v>242</v>
      </c>
      <c r="G26" s="16" t="s">
        <v>172</v>
      </c>
      <c r="H26" s="15" t="s">
        <v>196</v>
      </c>
      <c r="I26" s="15" t="s">
        <v>243</v>
      </c>
      <c r="J26" s="15" t="s">
        <v>244</v>
      </c>
      <c r="K26" s="15" t="s">
        <v>245</v>
      </c>
      <c r="L26" s="15" t="s">
        <v>246</v>
      </c>
      <c r="M26" s="14" t="n">
        <v>355</v>
      </c>
      <c r="N26" s="15" t="s">
        <v>177</v>
      </c>
      <c r="O26" s="14" t="n">
        <v>1300</v>
      </c>
      <c r="P26" s="14"/>
    </row>
    <row r="27" customFormat="false" ht="15" hidden="false" customHeight="true" outlineLevel="0" collapsed="false">
      <c r="A27" s="17" t="n">
        <v>26</v>
      </c>
      <c r="B27" s="18" t="s">
        <v>16</v>
      </c>
      <c r="C27" s="19" t="s">
        <v>17</v>
      </c>
      <c r="D27" s="19" t="s">
        <v>247</v>
      </c>
      <c r="E27" s="19" t="s">
        <v>114</v>
      </c>
      <c r="F27" s="19" t="s">
        <v>242</v>
      </c>
      <c r="G27" s="19" t="s">
        <v>172</v>
      </c>
      <c r="H27" s="18" t="s">
        <v>196</v>
      </c>
      <c r="I27" s="18" t="s">
        <v>243</v>
      </c>
      <c r="J27" s="18" t="s">
        <v>244</v>
      </c>
      <c r="K27" s="18" t="s">
        <v>245</v>
      </c>
      <c r="L27" s="18" t="s">
        <v>246</v>
      </c>
      <c r="M27" s="17" t="n">
        <v>355</v>
      </c>
      <c r="N27" s="18" t="s">
        <v>177</v>
      </c>
      <c r="O27" s="17" t="n">
        <v>1200</v>
      </c>
      <c r="P27" s="17"/>
    </row>
    <row r="28" customFormat="false" ht="15" hidden="false" customHeight="true" outlineLevel="0" collapsed="false">
      <c r="A28" s="14" t="n">
        <v>27</v>
      </c>
      <c r="B28" s="15" t="s">
        <v>16</v>
      </c>
      <c r="C28" s="16" t="s">
        <v>17</v>
      </c>
      <c r="D28" s="16" t="s">
        <v>248</v>
      </c>
      <c r="E28" s="16" t="s">
        <v>107</v>
      </c>
      <c r="F28" s="16" t="s">
        <v>242</v>
      </c>
      <c r="G28" s="16" t="s">
        <v>172</v>
      </c>
      <c r="H28" s="15" t="s">
        <v>196</v>
      </c>
      <c r="I28" s="15" t="s">
        <v>224</v>
      </c>
      <c r="J28" s="15" t="s">
        <v>249</v>
      </c>
      <c r="K28" s="14" t="s">
        <v>110</v>
      </c>
      <c r="L28" s="14" t="s">
        <v>110</v>
      </c>
      <c r="M28" s="14" t="n">
        <v>355</v>
      </c>
      <c r="N28" s="15" t="s">
        <v>177</v>
      </c>
      <c r="O28" s="14" t="n">
        <v>1300</v>
      </c>
      <c r="P28" s="15" t="s">
        <v>250</v>
      </c>
    </row>
    <row r="29" customFormat="false" ht="15" hidden="false" customHeight="true" outlineLevel="0" collapsed="false">
      <c r="A29" s="17" t="n">
        <v>28</v>
      </c>
      <c r="B29" s="18" t="s">
        <v>16</v>
      </c>
      <c r="C29" s="19" t="s">
        <v>17</v>
      </c>
      <c r="D29" s="19" t="s">
        <v>251</v>
      </c>
      <c r="E29" s="19" t="s">
        <v>114</v>
      </c>
      <c r="F29" s="19" t="s">
        <v>252</v>
      </c>
      <c r="G29" s="19" t="s">
        <v>253</v>
      </c>
      <c r="H29" s="18" t="s">
        <v>196</v>
      </c>
      <c r="I29" s="18" t="s">
        <v>254</v>
      </c>
      <c r="J29" s="18" t="s">
        <v>255</v>
      </c>
      <c r="K29" s="17" t="s">
        <v>110</v>
      </c>
      <c r="L29" s="17" t="s">
        <v>110</v>
      </c>
      <c r="M29" s="17" t="n">
        <v>355</v>
      </c>
      <c r="N29" s="18" t="s">
        <v>177</v>
      </c>
      <c r="O29" s="17" t="n">
        <v>1200</v>
      </c>
      <c r="P29" s="17"/>
    </row>
    <row r="30" customFormat="false" ht="15" hidden="false" customHeight="true" outlineLevel="0" collapsed="false">
      <c r="A30" s="14" t="n">
        <v>29</v>
      </c>
      <c r="B30" s="15" t="s">
        <v>16</v>
      </c>
      <c r="C30" s="16" t="s">
        <v>17</v>
      </c>
      <c r="D30" s="16" t="s">
        <v>256</v>
      </c>
      <c r="E30" s="16" t="s">
        <v>107</v>
      </c>
      <c r="F30" s="16" t="s">
        <v>257</v>
      </c>
      <c r="G30" s="16" t="s">
        <v>196</v>
      </c>
      <c r="H30" s="15" t="s">
        <v>243</v>
      </c>
      <c r="I30" s="15" t="s">
        <v>244</v>
      </c>
      <c r="J30" s="15" t="s">
        <v>258</v>
      </c>
      <c r="K30" s="15" t="s">
        <v>259</v>
      </c>
      <c r="L30" s="15" t="s">
        <v>245</v>
      </c>
      <c r="M30" s="14" t="n">
        <v>355</v>
      </c>
      <c r="N30" s="15" t="s">
        <v>177</v>
      </c>
      <c r="O30" s="14" t="n">
        <v>1400</v>
      </c>
      <c r="P30" s="15" t="s">
        <v>260</v>
      </c>
    </row>
    <row r="31" customFormat="false" ht="15" hidden="false" customHeight="true" outlineLevel="0" collapsed="false">
      <c r="A31" s="17" t="n">
        <v>30</v>
      </c>
      <c r="B31" s="18" t="s">
        <v>16</v>
      </c>
      <c r="C31" s="19" t="s">
        <v>17</v>
      </c>
      <c r="D31" s="19" t="s">
        <v>261</v>
      </c>
      <c r="E31" s="19" t="s">
        <v>114</v>
      </c>
      <c r="F31" s="19" t="s">
        <v>257</v>
      </c>
      <c r="G31" s="19" t="s">
        <v>196</v>
      </c>
      <c r="H31" s="18" t="s">
        <v>243</v>
      </c>
      <c r="I31" s="18" t="s">
        <v>262</v>
      </c>
      <c r="J31" s="18" t="s">
        <v>263</v>
      </c>
      <c r="K31" s="18" t="s">
        <v>259</v>
      </c>
      <c r="L31" s="18" t="s">
        <v>245</v>
      </c>
      <c r="M31" s="17" t="n">
        <v>355</v>
      </c>
      <c r="N31" s="18" t="s">
        <v>177</v>
      </c>
      <c r="O31" s="17" t="n">
        <v>1300</v>
      </c>
      <c r="P31" s="18" t="s">
        <v>260</v>
      </c>
    </row>
    <row r="32" customFormat="false" ht="15" hidden="false" customHeight="true" outlineLevel="0" collapsed="false">
      <c r="A32" s="14" t="n">
        <v>31</v>
      </c>
      <c r="B32" s="15" t="s">
        <v>16</v>
      </c>
      <c r="C32" s="16" t="s">
        <v>17</v>
      </c>
      <c r="D32" s="16" t="s">
        <v>264</v>
      </c>
      <c r="E32" s="16" t="s">
        <v>107</v>
      </c>
      <c r="F32" s="16" t="s">
        <v>116</v>
      </c>
      <c r="G32" s="16" t="s">
        <v>172</v>
      </c>
      <c r="H32" s="15" t="s">
        <v>265</v>
      </c>
      <c r="I32" s="15" t="s">
        <v>196</v>
      </c>
      <c r="J32" s="15" t="s">
        <v>174</v>
      </c>
      <c r="K32" s="15" t="s">
        <v>266</v>
      </c>
      <c r="L32" s="15" t="s">
        <v>267</v>
      </c>
      <c r="M32" s="14" t="n">
        <v>355</v>
      </c>
      <c r="N32" s="15" t="s">
        <v>177</v>
      </c>
      <c r="O32" s="14" t="n">
        <v>1300</v>
      </c>
      <c r="P32" s="14"/>
    </row>
    <row r="33" customFormat="false" ht="15" hidden="false" customHeight="true" outlineLevel="0" collapsed="false">
      <c r="A33" s="17" t="n">
        <v>32</v>
      </c>
      <c r="B33" s="18" t="s">
        <v>16</v>
      </c>
      <c r="C33" s="19" t="s">
        <v>17</v>
      </c>
      <c r="D33" s="19" t="s">
        <v>268</v>
      </c>
      <c r="E33" s="19" t="s">
        <v>107</v>
      </c>
      <c r="F33" s="19" t="s">
        <v>242</v>
      </c>
      <c r="G33" s="19" t="s">
        <v>269</v>
      </c>
      <c r="H33" s="18" t="s">
        <v>270</v>
      </c>
      <c r="I33" s="18" t="s">
        <v>271</v>
      </c>
      <c r="J33" s="18" t="s">
        <v>272</v>
      </c>
      <c r="K33" s="18" t="s">
        <v>273</v>
      </c>
      <c r="L33" s="18" t="s">
        <v>274</v>
      </c>
      <c r="M33" s="17" t="n">
        <v>355</v>
      </c>
      <c r="N33" s="18" t="s">
        <v>177</v>
      </c>
      <c r="O33" s="17" t="n">
        <v>1500</v>
      </c>
      <c r="P33" s="18" t="s">
        <v>275</v>
      </c>
    </row>
    <row r="34" customFormat="false" ht="15" hidden="false" customHeight="true" outlineLevel="0" collapsed="false">
      <c r="A34" s="14" t="n">
        <v>33</v>
      </c>
      <c r="B34" s="15" t="s">
        <v>16</v>
      </c>
      <c r="C34" s="16" t="s">
        <v>17</v>
      </c>
      <c r="D34" s="16" t="s">
        <v>276</v>
      </c>
      <c r="E34" s="16" t="s">
        <v>114</v>
      </c>
      <c r="F34" s="16" t="s">
        <v>135</v>
      </c>
      <c r="G34" s="16" t="s">
        <v>172</v>
      </c>
      <c r="H34" s="15" t="s">
        <v>196</v>
      </c>
      <c r="I34" s="15" t="s">
        <v>200</v>
      </c>
      <c r="J34" s="15" t="s">
        <v>277</v>
      </c>
      <c r="K34" s="15" t="s">
        <v>278</v>
      </c>
      <c r="L34" s="15" t="s">
        <v>279</v>
      </c>
      <c r="M34" s="14" t="n">
        <v>355</v>
      </c>
      <c r="N34" s="15" t="s">
        <v>177</v>
      </c>
      <c r="O34" s="14" t="n">
        <v>1300</v>
      </c>
      <c r="P34" s="14"/>
    </row>
    <row r="35" customFormat="false" ht="15" hidden="false" customHeight="true" outlineLevel="0" collapsed="false">
      <c r="A35" s="17" t="n">
        <v>34</v>
      </c>
      <c r="B35" s="18" t="s">
        <v>16</v>
      </c>
      <c r="C35" s="19" t="s">
        <v>17</v>
      </c>
      <c r="D35" s="19" t="s">
        <v>280</v>
      </c>
      <c r="E35" s="19" t="s">
        <v>114</v>
      </c>
      <c r="F35" s="19" t="s">
        <v>130</v>
      </c>
      <c r="G35" s="19" t="s">
        <v>188</v>
      </c>
      <c r="H35" s="18" t="s">
        <v>196</v>
      </c>
      <c r="I35" s="18" t="s">
        <v>281</v>
      </c>
      <c r="J35" s="18" t="s">
        <v>282</v>
      </c>
      <c r="K35" s="18" t="s">
        <v>174</v>
      </c>
      <c r="L35" s="18" t="s">
        <v>283</v>
      </c>
      <c r="M35" s="17" t="n">
        <v>250</v>
      </c>
      <c r="N35" s="18" t="s">
        <v>177</v>
      </c>
      <c r="O35" s="17" t="n">
        <v>1000</v>
      </c>
      <c r="P35" s="18" t="s">
        <v>284</v>
      </c>
    </row>
    <row r="36" customFormat="false" ht="15" hidden="false" customHeight="true" outlineLevel="0" collapsed="false">
      <c r="A36" s="14" t="n">
        <v>35</v>
      </c>
      <c r="B36" s="15" t="s">
        <v>16</v>
      </c>
      <c r="C36" s="16" t="s">
        <v>17</v>
      </c>
      <c r="D36" s="16" t="s">
        <v>285</v>
      </c>
      <c r="E36" s="20" t="s">
        <v>286</v>
      </c>
      <c r="F36" s="16" t="s">
        <v>287</v>
      </c>
      <c r="G36" s="16" t="s">
        <v>196</v>
      </c>
      <c r="H36" s="15" t="s">
        <v>288</v>
      </c>
      <c r="I36" s="15" t="s">
        <v>224</v>
      </c>
      <c r="J36" s="15" t="s">
        <v>289</v>
      </c>
      <c r="K36" s="15" t="s">
        <v>202</v>
      </c>
      <c r="L36" s="15" t="s">
        <v>290</v>
      </c>
      <c r="M36" s="14" t="n">
        <v>350</v>
      </c>
      <c r="N36" s="14" t="s">
        <v>233</v>
      </c>
      <c r="O36" s="14" t="n">
        <v>1500</v>
      </c>
      <c r="P36" s="14" t="s">
        <v>291</v>
      </c>
    </row>
    <row r="37" customFormat="false" ht="15" hidden="false" customHeight="true" outlineLevel="0" collapsed="false">
      <c r="A37" s="17" t="n">
        <v>36</v>
      </c>
      <c r="B37" s="18" t="s">
        <v>16</v>
      </c>
      <c r="C37" s="19" t="s">
        <v>17</v>
      </c>
      <c r="D37" s="19" t="s">
        <v>292</v>
      </c>
      <c r="E37" s="19" t="s">
        <v>179</v>
      </c>
      <c r="F37" s="19" t="s">
        <v>180</v>
      </c>
      <c r="G37" s="19" t="s">
        <v>195</v>
      </c>
      <c r="H37" s="18" t="s">
        <v>161</v>
      </c>
      <c r="I37" s="18" t="s">
        <v>196</v>
      </c>
      <c r="J37" s="18" t="s">
        <v>174</v>
      </c>
      <c r="K37" s="18" t="s">
        <v>190</v>
      </c>
      <c r="L37" s="18" t="s">
        <v>191</v>
      </c>
      <c r="M37" s="17" t="n">
        <v>355</v>
      </c>
      <c r="N37" s="18" t="s">
        <v>177</v>
      </c>
      <c r="O37" s="17" t="n">
        <v>1500</v>
      </c>
      <c r="P37" s="17"/>
    </row>
    <row r="38" customFormat="false" ht="15" hidden="false" customHeight="true" outlineLevel="0" collapsed="false">
      <c r="A38" s="14" t="n">
        <v>37</v>
      </c>
      <c r="B38" s="15" t="s">
        <v>16</v>
      </c>
      <c r="C38" s="16" t="s">
        <v>21</v>
      </c>
      <c r="D38" s="16" t="s">
        <v>293</v>
      </c>
      <c r="E38" s="16" t="s">
        <v>114</v>
      </c>
      <c r="F38" s="16" t="s">
        <v>294</v>
      </c>
      <c r="G38" s="16" t="s">
        <v>196</v>
      </c>
      <c r="H38" s="15" t="s">
        <v>295</v>
      </c>
      <c r="I38" s="15" t="s">
        <v>208</v>
      </c>
      <c r="J38" s="14" t="s">
        <v>110</v>
      </c>
      <c r="K38" s="14" t="s">
        <v>110</v>
      </c>
      <c r="L38" s="14" t="s">
        <v>110</v>
      </c>
      <c r="M38" s="14" t="n">
        <v>500</v>
      </c>
      <c r="N38" s="14" t="s">
        <v>111</v>
      </c>
      <c r="O38" s="14" t="n">
        <v>1200</v>
      </c>
      <c r="P38" s="15" t="s">
        <v>296</v>
      </c>
    </row>
    <row r="39" customFormat="false" ht="15" hidden="false" customHeight="true" outlineLevel="0" collapsed="false">
      <c r="A39" s="17" t="n">
        <v>38</v>
      </c>
      <c r="B39" s="18" t="s">
        <v>16</v>
      </c>
      <c r="C39" s="19" t="s">
        <v>21</v>
      </c>
      <c r="D39" s="19" t="s">
        <v>297</v>
      </c>
      <c r="E39" s="19" t="s">
        <v>107</v>
      </c>
      <c r="F39" s="19" t="s">
        <v>298</v>
      </c>
      <c r="G39" s="19" t="s">
        <v>196</v>
      </c>
      <c r="H39" s="17" t="s">
        <v>110</v>
      </c>
      <c r="I39" s="17" t="s">
        <v>110</v>
      </c>
      <c r="J39" s="17" t="s">
        <v>110</v>
      </c>
      <c r="K39" s="17" t="s">
        <v>110</v>
      </c>
      <c r="L39" s="17" t="s">
        <v>110</v>
      </c>
      <c r="M39" s="17" t="n">
        <v>450</v>
      </c>
      <c r="N39" s="17" t="s">
        <v>111</v>
      </c>
      <c r="O39" s="17" t="n">
        <v>1200</v>
      </c>
      <c r="P39" s="18" t="s">
        <v>299</v>
      </c>
    </row>
    <row r="40" customFormat="false" ht="15" hidden="false" customHeight="true" outlineLevel="0" collapsed="false">
      <c r="A40" s="14" t="n">
        <v>39</v>
      </c>
      <c r="B40" s="15" t="s">
        <v>16</v>
      </c>
      <c r="C40" s="16" t="s">
        <v>21</v>
      </c>
      <c r="D40" s="16" t="s">
        <v>300</v>
      </c>
      <c r="E40" s="16" t="s">
        <v>301</v>
      </c>
      <c r="F40" s="16" t="s">
        <v>302</v>
      </c>
      <c r="G40" s="16" t="s">
        <v>196</v>
      </c>
      <c r="H40" s="14" t="s">
        <v>110</v>
      </c>
      <c r="I40" s="14" t="s">
        <v>110</v>
      </c>
      <c r="J40" s="14" t="s">
        <v>110</v>
      </c>
      <c r="K40" s="14" t="s">
        <v>110</v>
      </c>
      <c r="L40" s="14" t="s">
        <v>110</v>
      </c>
      <c r="M40" s="14" t="n">
        <v>500</v>
      </c>
      <c r="N40" s="14" t="s">
        <v>111</v>
      </c>
      <c r="O40" s="14" t="n">
        <v>1300</v>
      </c>
      <c r="P40" s="15" t="s">
        <v>303</v>
      </c>
    </row>
    <row r="41" customFormat="false" ht="15" hidden="false" customHeight="true" outlineLevel="0" collapsed="false">
      <c r="A41" s="17" t="n">
        <v>40</v>
      </c>
      <c r="B41" s="18" t="s">
        <v>16</v>
      </c>
      <c r="C41" s="19" t="s">
        <v>21</v>
      </c>
      <c r="D41" s="19" t="s">
        <v>304</v>
      </c>
      <c r="E41" s="19" t="s">
        <v>305</v>
      </c>
      <c r="F41" s="19" t="s">
        <v>306</v>
      </c>
      <c r="G41" s="21" t="s">
        <v>110</v>
      </c>
      <c r="H41" s="17" t="s">
        <v>110</v>
      </c>
      <c r="I41" s="17" t="s">
        <v>110</v>
      </c>
      <c r="J41" s="17" t="s">
        <v>110</v>
      </c>
      <c r="K41" s="17" t="s">
        <v>110</v>
      </c>
      <c r="L41" s="17" t="s">
        <v>110</v>
      </c>
      <c r="M41" s="17" t="n">
        <v>330</v>
      </c>
      <c r="N41" s="18" t="s">
        <v>120</v>
      </c>
      <c r="O41" s="17" t="n">
        <v>2500</v>
      </c>
      <c r="P41" s="18" t="s">
        <v>275</v>
      </c>
    </row>
    <row r="42" customFormat="false" ht="15" hidden="false" customHeight="true" outlineLevel="0" collapsed="false">
      <c r="A42" s="14" t="n">
        <v>41</v>
      </c>
      <c r="B42" s="15" t="s">
        <v>16</v>
      </c>
      <c r="C42" s="16" t="s">
        <v>21</v>
      </c>
      <c r="D42" s="16" t="s">
        <v>307</v>
      </c>
      <c r="E42" s="16" t="s">
        <v>307</v>
      </c>
      <c r="F42" s="16" t="s">
        <v>308</v>
      </c>
      <c r="G42" s="20" t="s">
        <v>110</v>
      </c>
      <c r="H42" s="14" t="s">
        <v>110</v>
      </c>
      <c r="I42" s="14" t="s">
        <v>110</v>
      </c>
      <c r="J42" s="14" t="s">
        <v>110</v>
      </c>
      <c r="K42" s="14" t="s">
        <v>110</v>
      </c>
      <c r="L42" s="14" t="s">
        <v>110</v>
      </c>
      <c r="M42" s="14" t="n">
        <v>500</v>
      </c>
      <c r="N42" s="15" t="s">
        <v>120</v>
      </c>
      <c r="O42" s="14" t="n">
        <v>3000</v>
      </c>
      <c r="P42" s="15" t="s">
        <v>275</v>
      </c>
    </row>
    <row r="43" customFormat="false" ht="15" hidden="false" customHeight="true" outlineLevel="0" collapsed="false">
      <c r="A43" s="17" t="n">
        <v>42</v>
      </c>
      <c r="B43" s="18" t="s">
        <v>16</v>
      </c>
      <c r="C43" s="19" t="s">
        <v>21</v>
      </c>
      <c r="D43" s="19" t="s">
        <v>309</v>
      </c>
      <c r="E43" s="19" t="s">
        <v>179</v>
      </c>
      <c r="F43" s="19" t="s">
        <v>310</v>
      </c>
      <c r="G43" s="19" t="s">
        <v>196</v>
      </c>
      <c r="H43" s="17" t="s">
        <v>110</v>
      </c>
      <c r="I43" s="17" t="s">
        <v>110</v>
      </c>
      <c r="J43" s="17" t="s">
        <v>110</v>
      </c>
      <c r="K43" s="17" t="s">
        <v>110</v>
      </c>
      <c r="L43" s="17" t="s">
        <v>110</v>
      </c>
      <c r="M43" s="17" t="n">
        <v>350</v>
      </c>
      <c r="N43" s="17" t="s">
        <v>111</v>
      </c>
      <c r="O43" s="17" t="n">
        <v>1500</v>
      </c>
      <c r="P43" s="17"/>
    </row>
    <row r="44" customFormat="false" ht="15" hidden="false" customHeight="true" outlineLevel="0" collapsed="false">
      <c r="A44" s="14" t="n">
        <v>43</v>
      </c>
      <c r="B44" s="15" t="s">
        <v>34</v>
      </c>
      <c r="C44" s="16" t="s">
        <v>35</v>
      </c>
      <c r="D44" s="16" t="s">
        <v>311</v>
      </c>
      <c r="E44" s="16" t="s">
        <v>107</v>
      </c>
      <c r="F44" s="16" t="s">
        <v>205</v>
      </c>
      <c r="G44" s="16" t="s">
        <v>312</v>
      </c>
      <c r="H44" s="15" t="s">
        <v>313</v>
      </c>
      <c r="I44" s="15" t="s">
        <v>314</v>
      </c>
      <c r="J44" s="15" t="s">
        <v>315</v>
      </c>
      <c r="K44" s="15" t="s">
        <v>316</v>
      </c>
      <c r="L44" s="15" t="s">
        <v>317</v>
      </c>
      <c r="M44" s="14" t="n">
        <v>240</v>
      </c>
      <c r="N44" s="15" t="s">
        <v>177</v>
      </c>
      <c r="O44" s="14" t="n">
        <v>1200</v>
      </c>
      <c r="P44" s="14"/>
    </row>
    <row r="45" customFormat="false" ht="15" hidden="false" customHeight="true" outlineLevel="0" collapsed="false">
      <c r="A45" s="17" t="n">
        <v>44</v>
      </c>
      <c r="B45" s="18" t="s">
        <v>34</v>
      </c>
      <c r="C45" s="19" t="s">
        <v>35</v>
      </c>
      <c r="D45" s="19" t="s">
        <v>318</v>
      </c>
      <c r="E45" s="19" t="s">
        <v>114</v>
      </c>
      <c r="F45" s="19" t="s">
        <v>194</v>
      </c>
      <c r="G45" s="19" t="s">
        <v>319</v>
      </c>
      <c r="H45" s="18" t="s">
        <v>313</v>
      </c>
      <c r="I45" s="18" t="s">
        <v>320</v>
      </c>
      <c r="J45" s="18" t="s">
        <v>223</v>
      </c>
      <c r="K45" s="18" t="s">
        <v>316</v>
      </c>
      <c r="L45" s="18" t="s">
        <v>317</v>
      </c>
      <c r="M45" s="17" t="n">
        <v>240</v>
      </c>
      <c r="N45" s="18" t="s">
        <v>177</v>
      </c>
      <c r="O45" s="17" t="n">
        <v>800</v>
      </c>
      <c r="P45" s="17"/>
    </row>
    <row r="46" customFormat="false" ht="15" hidden="false" customHeight="true" outlineLevel="0" collapsed="false">
      <c r="A46" s="14" t="n">
        <v>45</v>
      </c>
      <c r="B46" s="15" t="s">
        <v>34</v>
      </c>
      <c r="C46" s="16" t="s">
        <v>35</v>
      </c>
      <c r="D46" s="16" t="s">
        <v>321</v>
      </c>
      <c r="E46" s="16" t="s">
        <v>114</v>
      </c>
      <c r="F46" s="16" t="s">
        <v>322</v>
      </c>
      <c r="G46" s="16" t="s">
        <v>323</v>
      </c>
      <c r="H46" s="15" t="s">
        <v>324</v>
      </c>
      <c r="I46" s="15" t="s">
        <v>325</v>
      </c>
      <c r="J46" s="15" t="s">
        <v>223</v>
      </c>
      <c r="K46" s="15" t="s">
        <v>316</v>
      </c>
      <c r="L46" s="15" t="s">
        <v>317</v>
      </c>
      <c r="M46" s="14" t="n">
        <v>275</v>
      </c>
      <c r="N46" s="15" t="s">
        <v>177</v>
      </c>
      <c r="O46" s="14" t="n">
        <v>1500</v>
      </c>
      <c r="P46" s="15" t="s">
        <v>326</v>
      </c>
    </row>
    <row r="47" customFormat="false" ht="15" hidden="false" customHeight="true" outlineLevel="0" collapsed="false">
      <c r="A47" s="17" t="n">
        <v>46</v>
      </c>
      <c r="B47" s="18" t="s">
        <v>34</v>
      </c>
      <c r="C47" s="19" t="s">
        <v>35</v>
      </c>
      <c r="D47" s="19" t="s">
        <v>327</v>
      </c>
      <c r="E47" s="19" t="s">
        <v>328</v>
      </c>
      <c r="F47" s="19" t="s">
        <v>329</v>
      </c>
      <c r="G47" s="19" t="s">
        <v>323</v>
      </c>
      <c r="H47" s="18" t="s">
        <v>330</v>
      </c>
      <c r="I47" s="18" t="s">
        <v>324</v>
      </c>
      <c r="J47" s="18" t="s">
        <v>223</v>
      </c>
      <c r="K47" s="18" t="s">
        <v>316</v>
      </c>
      <c r="L47" s="17" t="s">
        <v>110</v>
      </c>
      <c r="M47" s="17" t="n">
        <v>200</v>
      </c>
      <c r="N47" s="18" t="s">
        <v>177</v>
      </c>
      <c r="O47" s="17" t="n">
        <v>2500</v>
      </c>
      <c r="P47" s="17" t="s">
        <v>331</v>
      </c>
    </row>
    <row r="48" customFormat="false" ht="15" hidden="false" customHeight="true" outlineLevel="0" collapsed="false">
      <c r="A48" s="14" t="n">
        <v>47</v>
      </c>
      <c r="B48" s="15" t="s">
        <v>34</v>
      </c>
      <c r="C48" s="16" t="s">
        <v>35</v>
      </c>
      <c r="D48" s="16" t="s">
        <v>332</v>
      </c>
      <c r="E48" s="16" t="s">
        <v>128</v>
      </c>
      <c r="F48" s="16" t="s">
        <v>329</v>
      </c>
      <c r="G48" s="16" t="s">
        <v>333</v>
      </c>
      <c r="H48" s="15" t="s">
        <v>334</v>
      </c>
      <c r="I48" s="15" t="s">
        <v>335</v>
      </c>
      <c r="J48" s="15" t="s">
        <v>316</v>
      </c>
      <c r="K48" s="15" t="s">
        <v>317</v>
      </c>
      <c r="L48" s="14" t="s">
        <v>110</v>
      </c>
      <c r="M48" s="14" t="n">
        <v>350</v>
      </c>
      <c r="N48" s="14" t="s">
        <v>111</v>
      </c>
      <c r="O48" s="14" t="n">
        <v>2800</v>
      </c>
      <c r="P48" s="15" t="s">
        <v>336</v>
      </c>
    </row>
    <row r="49" customFormat="false" ht="15" hidden="false" customHeight="true" outlineLevel="0" collapsed="false">
      <c r="A49" s="17" t="n">
        <v>48</v>
      </c>
      <c r="B49" s="18" t="s">
        <v>34</v>
      </c>
      <c r="C49" s="19" t="s">
        <v>35</v>
      </c>
      <c r="D49" s="19" t="s">
        <v>337</v>
      </c>
      <c r="E49" s="19" t="s">
        <v>159</v>
      </c>
      <c r="F49" s="19" t="s">
        <v>252</v>
      </c>
      <c r="G49" s="19" t="s">
        <v>338</v>
      </c>
      <c r="H49" s="18" t="s">
        <v>339</v>
      </c>
      <c r="I49" s="18" t="s">
        <v>202</v>
      </c>
      <c r="J49" s="17" t="s">
        <v>110</v>
      </c>
      <c r="K49" s="17" t="s">
        <v>110</v>
      </c>
      <c r="L49" s="17" t="s">
        <v>110</v>
      </c>
      <c r="M49" s="17" t="n">
        <v>235</v>
      </c>
      <c r="N49" s="18" t="s">
        <v>177</v>
      </c>
      <c r="O49" s="17" t="n">
        <v>1300</v>
      </c>
      <c r="P49" s="18" t="s">
        <v>340</v>
      </c>
    </row>
    <row r="50" customFormat="false" ht="15" hidden="false" customHeight="true" outlineLevel="0" collapsed="false">
      <c r="A50" s="14" t="n">
        <v>49</v>
      </c>
      <c r="B50" s="15" t="s">
        <v>34</v>
      </c>
      <c r="C50" s="16" t="s">
        <v>35</v>
      </c>
      <c r="D50" s="16" t="s">
        <v>341</v>
      </c>
      <c r="E50" s="16" t="s">
        <v>328</v>
      </c>
      <c r="F50" s="16" t="s">
        <v>342</v>
      </c>
      <c r="G50" s="16" t="s">
        <v>343</v>
      </c>
      <c r="H50" s="15" t="s">
        <v>344</v>
      </c>
      <c r="I50" s="14" t="s">
        <v>110</v>
      </c>
      <c r="J50" s="14" t="s">
        <v>110</v>
      </c>
      <c r="K50" s="14" t="s">
        <v>110</v>
      </c>
      <c r="L50" s="14" t="s">
        <v>110</v>
      </c>
      <c r="M50" s="14" t="n">
        <v>275</v>
      </c>
      <c r="N50" s="15" t="s">
        <v>177</v>
      </c>
      <c r="O50" s="14" t="n">
        <v>1400</v>
      </c>
      <c r="P50" s="14"/>
    </row>
    <row r="51" customFormat="false" ht="15" hidden="false" customHeight="true" outlineLevel="0" collapsed="false">
      <c r="A51" s="17" t="n">
        <v>50</v>
      </c>
      <c r="B51" s="18" t="s">
        <v>34</v>
      </c>
      <c r="C51" s="19" t="s">
        <v>35</v>
      </c>
      <c r="D51" s="19" t="s">
        <v>345</v>
      </c>
      <c r="E51" s="19" t="s">
        <v>133</v>
      </c>
      <c r="F51" s="19" t="s">
        <v>329</v>
      </c>
      <c r="G51" s="19" t="s">
        <v>346</v>
      </c>
      <c r="H51" s="18" t="s">
        <v>347</v>
      </c>
      <c r="I51" s="18" t="s">
        <v>313</v>
      </c>
      <c r="J51" s="18" t="s">
        <v>348</v>
      </c>
      <c r="K51" s="18" t="s">
        <v>316</v>
      </c>
      <c r="L51" s="18" t="s">
        <v>317</v>
      </c>
      <c r="M51" s="17" t="n">
        <v>200</v>
      </c>
      <c r="N51" s="17" t="s">
        <v>349</v>
      </c>
      <c r="O51" s="17" t="n">
        <v>2000</v>
      </c>
      <c r="P51" s="17" t="s">
        <v>350</v>
      </c>
    </row>
    <row r="52" customFormat="false" ht="15" hidden="false" customHeight="true" outlineLevel="0" collapsed="false">
      <c r="A52" s="14" t="n">
        <v>51</v>
      </c>
      <c r="B52" s="15" t="s">
        <v>34</v>
      </c>
      <c r="C52" s="16" t="s">
        <v>35</v>
      </c>
      <c r="D52" s="16" t="s">
        <v>351</v>
      </c>
      <c r="E52" s="16" t="s">
        <v>352</v>
      </c>
      <c r="F52" s="16" t="s">
        <v>242</v>
      </c>
      <c r="G52" s="16" t="s">
        <v>353</v>
      </c>
      <c r="H52" s="15" t="s">
        <v>344</v>
      </c>
      <c r="I52" s="14" t="s">
        <v>110</v>
      </c>
      <c r="J52" s="14" t="s">
        <v>110</v>
      </c>
      <c r="K52" s="14" t="s">
        <v>110</v>
      </c>
      <c r="L52" s="14" t="s">
        <v>110</v>
      </c>
      <c r="M52" s="14" t="n">
        <v>350</v>
      </c>
      <c r="N52" s="14" t="s">
        <v>111</v>
      </c>
      <c r="O52" s="14" t="n">
        <v>2500</v>
      </c>
      <c r="P52" s="14"/>
    </row>
    <row r="53" customFormat="false" ht="15" hidden="false" customHeight="true" outlineLevel="0" collapsed="false">
      <c r="A53" s="17" t="n">
        <v>52</v>
      </c>
      <c r="B53" s="18" t="s">
        <v>34</v>
      </c>
      <c r="C53" s="19" t="s">
        <v>35</v>
      </c>
      <c r="D53" s="19" t="s">
        <v>354</v>
      </c>
      <c r="E53" s="19" t="s">
        <v>128</v>
      </c>
      <c r="F53" s="19" t="s">
        <v>135</v>
      </c>
      <c r="G53" s="19" t="s">
        <v>355</v>
      </c>
      <c r="H53" s="17" t="s">
        <v>110</v>
      </c>
      <c r="I53" s="17" t="s">
        <v>110</v>
      </c>
      <c r="J53" s="17" t="s">
        <v>110</v>
      </c>
      <c r="K53" s="17" t="s">
        <v>110</v>
      </c>
      <c r="L53" s="17" t="s">
        <v>110</v>
      </c>
      <c r="M53" s="17" t="n">
        <v>350</v>
      </c>
      <c r="N53" s="17" t="s">
        <v>111</v>
      </c>
      <c r="O53" s="17" t="n">
        <v>3500</v>
      </c>
      <c r="P53" s="18" t="s">
        <v>356</v>
      </c>
    </row>
    <row r="54" customFormat="false" ht="21.75" hidden="false" customHeight="true" outlineLevel="0" collapsed="false">
      <c r="A54" s="14" t="n">
        <v>53</v>
      </c>
      <c r="B54" s="15" t="s">
        <v>34</v>
      </c>
      <c r="C54" s="16" t="s">
        <v>35</v>
      </c>
      <c r="D54" s="16" t="s">
        <v>357</v>
      </c>
      <c r="E54" s="16" t="s">
        <v>128</v>
      </c>
      <c r="F54" s="16" t="s">
        <v>358</v>
      </c>
      <c r="G54" s="16" t="s">
        <v>333</v>
      </c>
      <c r="H54" s="15" t="s">
        <v>325</v>
      </c>
      <c r="I54" s="15" t="s">
        <v>324</v>
      </c>
      <c r="J54" s="15" t="s">
        <v>348</v>
      </c>
      <c r="K54" s="15" t="s">
        <v>316</v>
      </c>
      <c r="L54" s="15" t="s">
        <v>359</v>
      </c>
      <c r="M54" s="14" t="n">
        <v>230</v>
      </c>
      <c r="N54" s="14" t="s">
        <v>166</v>
      </c>
      <c r="O54" s="14" t="n">
        <v>1500</v>
      </c>
      <c r="P54" s="14" t="s">
        <v>167</v>
      </c>
    </row>
    <row r="55" customFormat="false" ht="21.75" hidden="false" customHeight="true" outlineLevel="0" collapsed="false">
      <c r="A55" s="17" t="n">
        <v>54</v>
      </c>
      <c r="B55" s="18" t="s">
        <v>34</v>
      </c>
      <c r="C55" s="19" t="s">
        <v>35</v>
      </c>
      <c r="D55" s="19" t="s">
        <v>360</v>
      </c>
      <c r="E55" s="19" t="s">
        <v>361</v>
      </c>
      <c r="F55" s="19" t="s">
        <v>322</v>
      </c>
      <c r="G55" s="19" t="s">
        <v>323</v>
      </c>
      <c r="H55" s="18" t="s">
        <v>313</v>
      </c>
      <c r="I55" s="18" t="s">
        <v>362</v>
      </c>
      <c r="J55" s="18" t="s">
        <v>348</v>
      </c>
      <c r="K55" s="18" t="s">
        <v>316</v>
      </c>
      <c r="L55" s="18" t="s">
        <v>317</v>
      </c>
      <c r="M55" s="17" t="n">
        <v>200</v>
      </c>
      <c r="N55" s="17" t="s">
        <v>166</v>
      </c>
      <c r="O55" s="17" t="n">
        <v>1000</v>
      </c>
      <c r="P55" s="17" t="s">
        <v>167</v>
      </c>
    </row>
    <row r="56" customFormat="false" ht="15" hidden="false" customHeight="true" outlineLevel="0" collapsed="false">
      <c r="A56" s="14" t="n">
        <v>55</v>
      </c>
      <c r="B56" s="15" t="s">
        <v>39</v>
      </c>
      <c r="C56" s="16" t="s">
        <v>44</v>
      </c>
      <c r="D56" s="16" t="s">
        <v>363</v>
      </c>
      <c r="E56" s="16" t="s">
        <v>364</v>
      </c>
      <c r="F56" s="16" t="s">
        <v>365</v>
      </c>
      <c r="G56" s="16" t="s">
        <v>366</v>
      </c>
      <c r="H56" s="15" t="s">
        <v>147</v>
      </c>
      <c r="I56" s="15" t="s">
        <v>367</v>
      </c>
      <c r="J56" s="14" t="s">
        <v>110</v>
      </c>
      <c r="K56" s="14" t="s">
        <v>110</v>
      </c>
      <c r="L56" s="14" t="s">
        <v>110</v>
      </c>
      <c r="M56" s="14" t="n">
        <v>340</v>
      </c>
      <c r="N56" s="14" t="s">
        <v>111</v>
      </c>
      <c r="O56" s="14" t="n">
        <v>1500</v>
      </c>
      <c r="P56" s="14"/>
    </row>
    <row r="57" customFormat="false" ht="15" hidden="false" customHeight="true" outlineLevel="0" collapsed="false">
      <c r="A57" s="17" t="n">
        <v>56</v>
      </c>
      <c r="B57" s="18" t="s">
        <v>39</v>
      </c>
      <c r="C57" s="19" t="s">
        <v>44</v>
      </c>
      <c r="D57" s="21" t="s">
        <v>368</v>
      </c>
      <c r="E57" s="19" t="s">
        <v>133</v>
      </c>
      <c r="F57" s="19" t="s">
        <v>257</v>
      </c>
      <c r="G57" s="21" t="s">
        <v>369</v>
      </c>
      <c r="H57" s="18" t="s">
        <v>147</v>
      </c>
      <c r="I57" s="18" t="s">
        <v>367</v>
      </c>
      <c r="J57" s="17" t="s">
        <v>110</v>
      </c>
      <c r="K57" s="17" t="s">
        <v>110</v>
      </c>
      <c r="L57" s="17" t="s">
        <v>110</v>
      </c>
      <c r="M57" s="17" t="n">
        <v>340</v>
      </c>
      <c r="N57" s="17" t="s">
        <v>111</v>
      </c>
      <c r="O57" s="17" t="n">
        <v>1500</v>
      </c>
      <c r="P57" s="18" t="s">
        <v>370</v>
      </c>
    </row>
    <row r="58" customFormat="false" ht="15" hidden="false" customHeight="true" outlineLevel="0" collapsed="false">
      <c r="A58" s="14" t="n">
        <v>57</v>
      </c>
      <c r="B58" s="15" t="s">
        <v>39</v>
      </c>
      <c r="C58" s="16" t="s">
        <v>44</v>
      </c>
      <c r="D58" s="16" t="s">
        <v>371</v>
      </c>
      <c r="E58" s="16" t="s">
        <v>372</v>
      </c>
      <c r="F58" s="16" t="s">
        <v>298</v>
      </c>
      <c r="G58" s="16" t="s">
        <v>373</v>
      </c>
      <c r="H58" s="15" t="s">
        <v>147</v>
      </c>
      <c r="I58" s="15" t="s">
        <v>367</v>
      </c>
      <c r="J58" s="14" t="s">
        <v>110</v>
      </c>
      <c r="K58" s="14" t="s">
        <v>110</v>
      </c>
      <c r="L58" s="14" t="s">
        <v>110</v>
      </c>
      <c r="M58" s="14" t="n">
        <v>340</v>
      </c>
      <c r="N58" s="14" t="s">
        <v>111</v>
      </c>
      <c r="O58" s="14" t="n">
        <v>1200</v>
      </c>
      <c r="P58" s="14"/>
    </row>
    <row r="59" customFormat="false" ht="15" hidden="false" customHeight="true" outlineLevel="0" collapsed="false">
      <c r="A59" s="17" t="n">
        <v>58</v>
      </c>
      <c r="B59" s="18" t="s">
        <v>39</v>
      </c>
      <c r="C59" s="19" t="s">
        <v>44</v>
      </c>
      <c r="D59" s="19" t="s">
        <v>374</v>
      </c>
      <c r="E59" s="19" t="s">
        <v>364</v>
      </c>
      <c r="F59" s="19" t="s">
        <v>375</v>
      </c>
      <c r="G59" s="19" t="s">
        <v>376</v>
      </c>
      <c r="H59" s="18" t="s">
        <v>147</v>
      </c>
      <c r="I59" s="18" t="s">
        <v>367</v>
      </c>
      <c r="J59" s="17" t="s">
        <v>110</v>
      </c>
      <c r="K59" s="17" t="s">
        <v>110</v>
      </c>
      <c r="L59" s="17" t="s">
        <v>110</v>
      </c>
      <c r="M59" s="17" t="n">
        <v>340</v>
      </c>
      <c r="N59" s="17" t="s">
        <v>111</v>
      </c>
      <c r="O59" s="17" t="n">
        <v>1500</v>
      </c>
      <c r="P59" s="17"/>
    </row>
    <row r="60" customFormat="false" ht="15" hidden="false" customHeight="true" outlineLevel="0" collapsed="false">
      <c r="A60" s="14" t="n">
        <v>59</v>
      </c>
      <c r="B60" s="15" t="s">
        <v>39</v>
      </c>
      <c r="C60" s="16" t="s">
        <v>40</v>
      </c>
      <c r="D60" s="16" t="s">
        <v>377</v>
      </c>
      <c r="E60" s="16" t="s">
        <v>378</v>
      </c>
      <c r="F60" s="16" t="s">
        <v>116</v>
      </c>
      <c r="G60" s="16" t="s">
        <v>379</v>
      </c>
      <c r="H60" s="15" t="s">
        <v>380</v>
      </c>
      <c r="I60" s="15" t="s">
        <v>200</v>
      </c>
      <c r="J60" s="15" t="s">
        <v>381</v>
      </c>
      <c r="K60" s="15" t="s">
        <v>202</v>
      </c>
      <c r="L60" s="15" t="s">
        <v>382</v>
      </c>
      <c r="M60" s="14" t="n">
        <v>340</v>
      </c>
      <c r="N60" s="15" t="s">
        <v>177</v>
      </c>
      <c r="O60" s="14" t="n">
        <v>1300</v>
      </c>
      <c r="P60" s="14"/>
    </row>
    <row r="61" customFormat="false" ht="15" hidden="false" customHeight="true" outlineLevel="0" collapsed="false">
      <c r="A61" s="17" t="n">
        <v>60</v>
      </c>
      <c r="B61" s="18" t="s">
        <v>39</v>
      </c>
      <c r="C61" s="19" t="s">
        <v>44</v>
      </c>
      <c r="D61" s="19" t="s">
        <v>383</v>
      </c>
      <c r="E61" s="19" t="s">
        <v>372</v>
      </c>
      <c r="F61" s="19" t="s">
        <v>342</v>
      </c>
      <c r="G61" s="19" t="s">
        <v>384</v>
      </c>
      <c r="H61" s="18" t="s">
        <v>161</v>
      </c>
      <c r="I61" s="18" t="s">
        <v>174</v>
      </c>
      <c r="J61" s="18" t="s">
        <v>385</v>
      </c>
      <c r="K61" s="17" t="s">
        <v>110</v>
      </c>
      <c r="L61" s="17" t="s">
        <v>110</v>
      </c>
      <c r="M61" s="17" t="n">
        <v>340</v>
      </c>
      <c r="N61" s="17" t="s">
        <v>111</v>
      </c>
      <c r="O61" s="17" t="n">
        <v>1200</v>
      </c>
      <c r="P61" s="18" t="s">
        <v>386</v>
      </c>
    </row>
    <row r="62" customFormat="false" ht="15" hidden="false" customHeight="true" outlineLevel="0" collapsed="false">
      <c r="A62" s="14" t="n">
        <v>61</v>
      </c>
      <c r="B62" s="15" t="s">
        <v>39</v>
      </c>
      <c r="C62" s="16" t="s">
        <v>44</v>
      </c>
      <c r="D62" s="16" t="s">
        <v>387</v>
      </c>
      <c r="E62" s="16" t="s">
        <v>364</v>
      </c>
      <c r="F62" s="16" t="s">
        <v>242</v>
      </c>
      <c r="G62" s="16" t="s">
        <v>388</v>
      </c>
      <c r="H62" s="15" t="s">
        <v>389</v>
      </c>
      <c r="I62" s="15" t="s">
        <v>390</v>
      </c>
      <c r="J62" s="15" t="s">
        <v>391</v>
      </c>
      <c r="K62" s="15" t="s">
        <v>385</v>
      </c>
      <c r="L62" s="14" t="s">
        <v>110</v>
      </c>
      <c r="M62" s="14" t="n">
        <v>175</v>
      </c>
      <c r="N62" s="15" t="s">
        <v>177</v>
      </c>
      <c r="O62" s="14" t="n">
        <v>1500</v>
      </c>
      <c r="P62" s="15" t="s">
        <v>392</v>
      </c>
    </row>
    <row r="63" customFormat="false" ht="15" hidden="false" customHeight="true" outlineLevel="0" collapsed="false">
      <c r="A63" s="17" t="n">
        <v>62</v>
      </c>
      <c r="B63" s="18" t="s">
        <v>39</v>
      </c>
      <c r="C63" s="19" t="s">
        <v>44</v>
      </c>
      <c r="D63" s="19" t="s">
        <v>393</v>
      </c>
      <c r="E63" s="19" t="s">
        <v>394</v>
      </c>
      <c r="F63" s="19" t="s">
        <v>395</v>
      </c>
      <c r="G63" s="19" t="s">
        <v>396</v>
      </c>
      <c r="H63" s="18" t="s">
        <v>397</v>
      </c>
      <c r="I63" s="18" t="s">
        <v>207</v>
      </c>
      <c r="J63" s="18" t="s">
        <v>208</v>
      </c>
      <c r="K63" s="18" t="s">
        <v>385</v>
      </c>
      <c r="L63" s="17" t="s">
        <v>110</v>
      </c>
      <c r="M63" s="17" t="n">
        <v>340</v>
      </c>
      <c r="N63" s="17" t="s">
        <v>111</v>
      </c>
      <c r="O63" s="17" t="n">
        <v>1500</v>
      </c>
      <c r="P63" s="17"/>
    </row>
    <row r="64" customFormat="false" ht="15" hidden="false" customHeight="true" outlineLevel="0" collapsed="false">
      <c r="A64" s="14" t="n">
        <v>63</v>
      </c>
      <c r="B64" s="15" t="s">
        <v>39</v>
      </c>
      <c r="C64" s="16" t="s">
        <v>44</v>
      </c>
      <c r="D64" s="16" t="s">
        <v>398</v>
      </c>
      <c r="E64" s="16" t="s">
        <v>399</v>
      </c>
      <c r="F64" s="16" t="s">
        <v>287</v>
      </c>
      <c r="G64" s="16" t="s">
        <v>400</v>
      </c>
      <c r="H64" s="15" t="s">
        <v>401</v>
      </c>
      <c r="I64" s="15" t="s">
        <v>208</v>
      </c>
      <c r="J64" s="15" t="s">
        <v>202</v>
      </c>
      <c r="K64" s="15" t="s">
        <v>290</v>
      </c>
      <c r="L64" s="14" t="s">
        <v>110</v>
      </c>
      <c r="M64" s="14" t="n">
        <v>340</v>
      </c>
      <c r="N64" s="14" t="s">
        <v>111</v>
      </c>
      <c r="O64" s="14" t="n">
        <v>1500</v>
      </c>
      <c r="P64" s="14"/>
    </row>
    <row r="65" customFormat="false" ht="15" hidden="false" customHeight="true" outlineLevel="0" collapsed="false">
      <c r="A65" s="17" t="n">
        <v>64</v>
      </c>
      <c r="B65" s="18" t="s">
        <v>39</v>
      </c>
      <c r="C65" s="19" t="s">
        <v>44</v>
      </c>
      <c r="D65" s="19" t="s">
        <v>402</v>
      </c>
      <c r="E65" s="19" t="s">
        <v>403</v>
      </c>
      <c r="F65" s="19" t="s">
        <v>365</v>
      </c>
      <c r="G65" s="19" t="s">
        <v>404</v>
      </c>
      <c r="H65" s="18" t="s">
        <v>147</v>
      </c>
      <c r="I65" s="18" t="s">
        <v>405</v>
      </c>
      <c r="J65" s="17" t="s">
        <v>110</v>
      </c>
      <c r="K65" s="17" t="s">
        <v>110</v>
      </c>
      <c r="L65" s="17" t="s">
        <v>110</v>
      </c>
      <c r="M65" s="17" t="n">
        <v>500</v>
      </c>
      <c r="N65" s="17" t="s">
        <v>111</v>
      </c>
      <c r="O65" s="17" t="n">
        <v>1500</v>
      </c>
      <c r="P65" s="17"/>
    </row>
    <row r="66" customFormat="false" ht="15" hidden="false" customHeight="true" outlineLevel="0" collapsed="false">
      <c r="A66" s="14" t="n">
        <v>65</v>
      </c>
      <c r="B66" s="15" t="s">
        <v>52</v>
      </c>
      <c r="C66" s="16" t="s">
        <v>53</v>
      </c>
      <c r="D66" s="16" t="s">
        <v>406</v>
      </c>
      <c r="E66" s="16" t="s">
        <v>407</v>
      </c>
      <c r="F66" s="16" t="s">
        <v>194</v>
      </c>
      <c r="G66" s="16" t="s">
        <v>408</v>
      </c>
      <c r="H66" s="15" t="s">
        <v>313</v>
      </c>
      <c r="I66" s="15" t="s">
        <v>409</v>
      </c>
      <c r="J66" s="15" t="s">
        <v>410</v>
      </c>
      <c r="K66" s="15" t="s">
        <v>411</v>
      </c>
      <c r="L66" s="15" t="s">
        <v>164</v>
      </c>
      <c r="M66" s="14" t="n">
        <v>190</v>
      </c>
      <c r="N66" s="15" t="s">
        <v>131</v>
      </c>
      <c r="O66" s="14" t="n">
        <v>900</v>
      </c>
      <c r="P66" s="14"/>
    </row>
    <row r="67" customFormat="false" ht="15" hidden="false" customHeight="true" outlineLevel="0" collapsed="false">
      <c r="A67" s="17" t="n">
        <v>66</v>
      </c>
      <c r="B67" s="18" t="s">
        <v>52</v>
      </c>
      <c r="C67" s="19" t="s">
        <v>53</v>
      </c>
      <c r="D67" s="19" t="s">
        <v>412</v>
      </c>
      <c r="E67" s="19" t="s">
        <v>413</v>
      </c>
      <c r="F67" s="19" t="s">
        <v>186</v>
      </c>
      <c r="G67" s="19" t="s">
        <v>414</v>
      </c>
      <c r="H67" s="18" t="s">
        <v>313</v>
      </c>
      <c r="I67" s="18" t="s">
        <v>409</v>
      </c>
      <c r="J67" s="18" t="s">
        <v>410</v>
      </c>
      <c r="K67" s="18" t="s">
        <v>411</v>
      </c>
      <c r="L67" s="18" t="s">
        <v>164</v>
      </c>
      <c r="M67" s="17" t="n">
        <v>190</v>
      </c>
      <c r="N67" s="18" t="s">
        <v>131</v>
      </c>
      <c r="O67" s="17" t="n">
        <v>800</v>
      </c>
      <c r="P67" s="17"/>
    </row>
    <row r="68" customFormat="false" ht="15" hidden="false" customHeight="true" outlineLevel="0" collapsed="false">
      <c r="A68" s="14" t="n">
        <v>67</v>
      </c>
      <c r="B68" s="15" t="s">
        <v>52</v>
      </c>
      <c r="C68" s="16" t="s">
        <v>53</v>
      </c>
      <c r="D68" s="16" t="s">
        <v>415</v>
      </c>
      <c r="E68" s="16" t="s">
        <v>128</v>
      </c>
      <c r="F68" s="16" t="s">
        <v>416</v>
      </c>
      <c r="G68" s="16" t="s">
        <v>417</v>
      </c>
      <c r="H68" s="15" t="s">
        <v>313</v>
      </c>
      <c r="I68" s="15" t="s">
        <v>362</v>
      </c>
      <c r="J68" s="15" t="s">
        <v>409</v>
      </c>
      <c r="K68" s="15" t="s">
        <v>410</v>
      </c>
      <c r="L68" s="15" t="s">
        <v>418</v>
      </c>
      <c r="M68" s="14" t="n">
        <v>200</v>
      </c>
      <c r="N68" s="15" t="s">
        <v>131</v>
      </c>
      <c r="O68" s="14" t="n">
        <v>1200</v>
      </c>
      <c r="P68" s="15" t="s">
        <v>419</v>
      </c>
    </row>
    <row r="69" customFormat="false" ht="15" hidden="false" customHeight="true" outlineLevel="0" collapsed="false">
      <c r="A69" s="17" t="n">
        <v>68</v>
      </c>
      <c r="B69" s="18" t="s">
        <v>52</v>
      </c>
      <c r="C69" s="19" t="s">
        <v>53</v>
      </c>
      <c r="D69" s="19" t="s">
        <v>420</v>
      </c>
      <c r="E69" s="19" t="s">
        <v>407</v>
      </c>
      <c r="F69" s="19" t="s">
        <v>180</v>
      </c>
      <c r="G69" s="19" t="s">
        <v>421</v>
      </c>
      <c r="H69" s="18" t="s">
        <v>422</v>
      </c>
      <c r="I69" s="18" t="s">
        <v>423</v>
      </c>
      <c r="J69" s="18" t="s">
        <v>424</v>
      </c>
      <c r="K69" s="18" t="s">
        <v>425</v>
      </c>
      <c r="L69" s="18" t="s">
        <v>418</v>
      </c>
      <c r="M69" s="17" t="n">
        <v>190</v>
      </c>
      <c r="N69" s="18" t="s">
        <v>131</v>
      </c>
      <c r="O69" s="17" t="n">
        <v>1000</v>
      </c>
      <c r="P69" s="18" t="s">
        <v>426</v>
      </c>
    </row>
    <row r="70" customFormat="false" ht="15" hidden="false" customHeight="true" outlineLevel="0" collapsed="false">
      <c r="A70" s="14" t="n">
        <v>69</v>
      </c>
      <c r="B70" s="15" t="s">
        <v>52</v>
      </c>
      <c r="C70" s="16" t="s">
        <v>53</v>
      </c>
      <c r="D70" s="16" t="s">
        <v>427</v>
      </c>
      <c r="E70" s="16" t="s">
        <v>428</v>
      </c>
      <c r="F70" s="16" t="s">
        <v>194</v>
      </c>
      <c r="G70" s="16" t="s">
        <v>408</v>
      </c>
      <c r="H70" s="15" t="s">
        <v>313</v>
      </c>
      <c r="I70" s="15" t="s">
        <v>409</v>
      </c>
      <c r="J70" s="15" t="s">
        <v>429</v>
      </c>
      <c r="K70" s="15" t="s">
        <v>430</v>
      </c>
      <c r="L70" s="15" t="s">
        <v>418</v>
      </c>
      <c r="M70" s="14" t="n">
        <v>200</v>
      </c>
      <c r="N70" s="15" t="s">
        <v>131</v>
      </c>
      <c r="O70" s="14" t="n">
        <v>900</v>
      </c>
      <c r="P70" s="14"/>
    </row>
    <row r="71" customFormat="false" ht="21.75" hidden="false" customHeight="true" outlineLevel="0" collapsed="false">
      <c r="A71" s="17" t="n">
        <v>70</v>
      </c>
      <c r="B71" s="18" t="s">
        <v>52</v>
      </c>
      <c r="C71" s="19" t="s">
        <v>53</v>
      </c>
      <c r="D71" s="19" t="s">
        <v>431</v>
      </c>
      <c r="E71" s="19" t="s">
        <v>407</v>
      </c>
      <c r="F71" s="19" t="s">
        <v>205</v>
      </c>
      <c r="G71" s="19" t="s">
        <v>414</v>
      </c>
      <c r="H71" s="18" t="s">
        <v>432</v>
      </c>
      <c r="I71" s="18" t="s">
        <v>324</v>
      </c>
      <c r="J71" s="18" t="s">
        <v>409</v>
      </c>
      <c r="K71" s="18" t="s">
        <v>410</v>
      </c>
      <c r="L71" s="18" t="s">
        <v>418</v>
      </c>
      <c r="M71" s="17" t="n">
        <v>190</v>
      </c>
      <c r="N71" s="17" t="s">
        <v>166</v>
      </c>
      <c r="O71" s="17" t="n">
        <v>900</v>
      </c>
      <c r="P71" s="17" t="s">
        <v>167</v>
      </c>
    </row>
    <row r="72" customFormat="false" ht="15" hidden="false" customHeight="true" outlineLevel="0" collapsed="false">
      <c r="A72" s="14" t="n">
        <v>71</v>
      </c>
      <c r="B72" s="15" t="s">
        <v>52</v>
      </c>
      <c r="C72" s="16" t="s">
        <v>53</v>
      </c>
      <c r="D72" s="16" t="s">
        <v>433</v>
      </c>
      <c r="E72" s="16" t="s">
        <v>128</v>
      </c>
      <c r="F72" s="16" t="s">
        <v>109</v>
      </c>
      <c r="G72" s="16" t="s">
        <v>434</v>
      </c>
      <c r="H72" s="15" t="s">
        <v>409</v>
      </c>
      <c r="I72" s="15" t="s">
        <v>435</v>
      </c>
      <c r="J72" s="15" t="s">
        <v>436</v>
      </c>
      <c r="K72" s="15" t="s">
        <v>437</v>
      </c>
      <c r="L72" s="15" t="s">
        <v>418</v>
      </c>
      <c r="M72" s="14" t="n">
        <v>190</v>
      </c>
      <c r="N72" s="15" t="s">
        <v>131</v>
      </c>
      <c r="O72" s="14" t="n">
        <v>1500</v>
      </c>
      <c r="P72" s="15" t="s">
        <v>438</v>
      </c>
    </row>
    <row r="73" customFormat="false" ht="15" hidden="false" customHeight="true" outlineLevel="0" collapsed="false">
      <c r="A73" s="17" t="n">
        <v>72</v>
      </c>
      <c r="B73" s="18" t="s">
        <v>57</v>
      </c>
      <c r="C73" s="19" t="s">
        <v>58</v>
      </c>
      <c r="D73" s="19" t="s">
        <v>439</v>
      </c>
      <c r="E73" s="19" t="s">
        <v>439</v>
      </c>
      <c r="F73" s="19" t="s">
        <v>440</v>
      </c>
      <c r="G73" s="19" t="s">
        <v>441</v>
      </c>
      <c r="H73" s="18" t="s">
        <v>442</v>
      </c>
      <c r="I73" s="18" t="s">
        <v>443</v>
      </c>
      <c r="J73" s="18" t="s">
        <v>444</v>
      </c>
      <c r="K73" s="18" t="s">
        <v>208</v>
      </c>
      <c r="L73" s="18" t="s">
        <v>445</v>
      </c>
      <c r="M73" s="17" t="n">
        <v>250</v>
      </c>
      <c r="N73" s="18" t="s">
        <v>177</v>
      </c>
      <c r="O73" s="17" t="n">
        <v>2500</v>
      </c>
      <c r="P73" s="18" t="s">
        <v>275</v>
      </c>
    </row>
    <row r="74" customFormat="false" ht="15" hidden="false" customHeight="true" outlineLevel="0" collapsed="false">
      <c r="A74" s="14" t="n">
        <v>73</v>
      </c>
      <c r="B74" s="15" t="s">
        <v>57</v>
      </c>
      <c r="C74" s="16" t="s">
        <v>58</v>
      </c>
      <c r="D74" s="16" t="s">
        <v>446</v>
      </c>
      <c r="E74" s="16" t="s">
        <v>107</v>
      </c>
      <c r="F74" s="16" t="s">
        <v>447</v>
      </c>
      <c r="G74" s="16" t="s">
        <v>448</v>
      </c>
      <c r="H74" s="15" t="s">
        <v>442</v>
      </c>
      <c r="I74" s="15" t="s">
        <v>449</v>
      </c>
      <c r="J74" s="15" t="s">
        <v>450</v>
      </c>
      <c r="K74" s="15" t="s">
        <v>451</v>
      </c>
      <c r="L74" s="15" t="s">
        <v>174</v>
      </c>
      <c r="M74" s="14" t="n">
        <v>355</v>
      </c>
      <c r="N74" s="15" t="s">
        <v>177</v>
      </c>
      <c r="O74" s="14" t="n">
        <v>2200</v>
      </c>
      <c r="P74" s="15" t="s">
        <v>275</v>
      </c>
    </row>
    <row r="75" customFormat="false" ht="15" hidden="false" customHeight="true" outlineLevel="0" collapsed="false">
      <c r="A75" s="17" t="n">
        <v>74</v>
      </c>
      <c r="B75" s="18" t="s">
        <v>57</v>
      </c>
      <c r="C75" s="19" t="s">
        <v>58</v>
      </c>
      <c r="D75" s="19" t="s">
        <v>452</v>
      </c>
      <c r="E75" s="19" t="s">
        <v>114</v>
      </c>
      <c r="F75" s="19" t="s">
        <v>116</v>
      </c>
      <c r="G75" s="19" t="s">
        <v>172</v>
      </c>
      <c r="H75" s="18" t="s">
        <v>442</v>
      </c>
      <c r="I75" s="18" t="s">
        <v>453</v>
      </c>
      <c r="J75" s="18" t="s">
        <v>443</v>
      </c>
      <c r="K75" s="18" t="s">
        <v>174</v>
      </c>
      <c r="L75" s="18" t="s">
        <v>451</v>
      </c>
      <c r="M75" s="17" t="n">
        <v>250</v>
      </c>
      <c r="N75" s="18" t="s">
        <v>177</v>
      </c>
      <c r="O75" s="17" t="n">
        <v>1200</v>
      </c>
      <c r="P75" s="17"/>
    </row>
    <row r="76" customFormat="false" ht="15" hidden="false" customHeight="true" outlineLevel="0" collapsed="false">
      <c r="A76" s="14" t="n">
        <v>75</v>
      </c>
      <c r="B76" s="15" t="s">
        <v>57</v>
      </c>
      <c r="C76" s="16" t="s">
        <v>58</v>
      </c>
      <c r="D76" s="16" t="s">
        <v>454</v>
      </c>
      <c r="E76" s="16" t="s">
        <v>128</v>
      </c>
      <c r="F76" s="16" t="s">
        <v>395</v>
      </c>
      <c r="G76" s="16" t="s">
        <v>161</v>
      </c>
      <c r="H76" s="15" t="s">
        <v>455</v>
      </c>
      <c r="I76" s="15" t="s">
        <v>443</v>
      </c>
      <c r="J76" s="15" t="s">
        <v>456</v>
      </c>
      <c r="K76" s="15" t="s">
        <v>451</v>
      </c>
      <c r="L76" s="15" t="s">
        <v>174</v>
      </c>
      <c r="M76" s="14" t="n">
        <v>250</v>
      </c>
      <c r="N76" s="15" t="s">
        <v>177</v>
      </c>
      <c r="O76" s="14" t="n">
        <v>1800</v>
      </c>
      <c r="P76" s="14"/>
    </row>
    <row r="77" customFormat="false" ht="15" hidden="false" customHeight="true" outlineLevel="0" collapsed="false">
      <c r="A77" s="17" t="n">
        <v>76</v>
      </c>
      <c r="B77" s="18" t="s">
        <v>57</v>
      </c>
      <c r="C77" s="19" t="s">
        <v>58</v>
      </c>
      <c r="D77" s="19" t="s">
        <v>457</v>
      </c>
      <c r="E77" s="19" t="s">
        <v>107</v>
      </c>
      <c r="F77" s="19" t="s">
        <v>116</v>
      </c>
      <c r="G77" s="19" t="s">
        <v>172</v>
      </c>
      <c r="H77" s="18" t="s">
        <v>442</v>
      </c>
      <c r="I77" s="18" t="s">
        <v>453</v>
      </c>
      <c r="J77" s="18" t="s">
        <v>443</v>
      </c>
      <c r="K77" s="18" t="s">
        <v>174</v>
      </c>
      <c r="L77" s="18" t="s">
        <v>385</v>
      </c>
      <c r="M77" s="17" t="n">
        <v>250</v>
      </c>
      <c r="N77" s="18" t="s">
        <v>177</v>
      </c>
      <c r="O77" s="17" t="n">
        <v>1500</v>
      </c>
      <c r="P77" s="17"/>
    </row>
    <row r="78" customFormat="false" ht="15" hidden="false" customHeight="true" outlineLevel="0" collapsed="false">
      <c r="A78" s="14" t="n">
        <v>77</v>
      </c>
      <c r="B78" s="15" t="s">
        <v>57</v>
      </c>
      <c r="C78" s="16" t="s">
        <v>58</v>
      </c>
      <c r="D78" s="16" t="s">
        <v>458</v>
      </c>
      <c r="E78" s="16" t="s">
        <v>459</v>
      </c>
      <c r="F78" s="16" t="s">
        <v>395</v>
      </c>
      <c r="G78" s="16" t="s">
        <v>161</v>
      </c>
      <c r="H78" s="15" t="s">
        <v>456</v>
      </c>
      <c r="I78" s="15" t="s">
        <v>443</v>
      </c>
      <c r="J78" s="15" t="s">
        <v>460</v>
      </c>
      <c r="K78" s="15" t="s">
        <v>451</v>
      </c>
      <c r="L78" s="15" t="s">
        <v>290</v>
      </c>
      <c r="M78" s="14" t="n">
        <v>250</v>
      </c>
      <c r="N78" s="15" t="s">
        <v>177</v>
      </c>
      <c r="O78" s="14" t="n">
        <v>1500</v>
      </c>
      <c r="P78" s="14"/>
    </row>
    <row r="79" customFormat="false" ht="15" hidden="false" customHeight="true" outlineLevel="0" collapsed="false">
      <c r="A79" s="17" t="n">
        <v>78</v>
      </c>
      <c r="B79" s="18" t="s">
        <v>57</v>
      </c>
      <c r="C79" s="19" t="s">
        <v>461</v>
      </c>
      <c r="D79" s="19" t="s">
        <v>462</v>
      </c>
      <c r="E79" s="19" t="s">
        <v>221</v>
      </c>
      <c r="F79" s="19" t="s">
        <v>463</v>
      </c>
      <c r="G79" s="19" t="s">
        <v>464</v>
      </c>
      <c r="H79" s="18" t="s">
        <v>174</v>
      </c>
      <c r="I79" s="18" t="s">
        <v>465</v>
      </c>
      <c r="J79" s="18" t="s">
        <v>466</v>
      </c>
      <c r="K79" s="18" t="s">
        <v>467</v>
      </c>
      <c r="L79" s="18" t="s">
        <v>468</v>
      </c>
      <c r="M79" s="17" t="n">
        <v>340</v>
      </c>
      <c r="N79" s="17" t="s">
        <v>111</v>
      </c>
      <c r="O79" s="17" t="n">
        <v>1500</v>
      </c>
      <c r="P79" s="17"/>
    </row>
    <row r="80" customFormat="false" ht="15" hidden="false" customHeight="true" outlineLevel="0" collapsed="false">
      <c r="A80" s="14" t="n">
        <v>79</v>
      </c>
      <c r="B80" s="15" t="s">
        <v>57</v>
      </c>
      <c r="C80" s="16" t="s">
        <v>461</v>
      </c>
      <c r="D80" s="16" t="s">
        <v>469</v>
      </c>
      <c r="E80" s="16" t="s">
        <v>114</v>
      </c>
      <c r="F80" s="16" t="s">
        <v>470</v>
      </c>
      <c r="G80" s="16" t="s">
        <v>207</v>
      </c>
      <c r="H80" s="15" t="s">
        <v>174</v>
      </c>
      <c r="I80" s="15" t="s">
        <v>289</v>
      </c>
      <c r="J80" s="15" t="s">
        <v>466</v>
      </c>
      <c r="K80" s="15" t="s">
        <v>471</v>
      </c>
      <c r="L80" s="15" t="s">
        <v>472</v>
      </c>
      <c r="M80" s="14" t="n">
        <v>600</v>
      </c>
      <c r="N80" s="14" t="s">
        <v>111</v>
      </c>
      <c r="O80" s="14" t="n">
        <v>1800</v>
      </c>
      <c r="P80" s="14"/>
    </row>
    <row r="81" customFormat="false" ht="15" hidden="false" customHeight="true" outlineLevel="0" collapsed="false">
      <c r="A81" s="17" t="n">
        <v>80</v>
      </c>
      <c r="B81" s="18" t="s">
        <v>57</v>
      </c>
      <c r="C81" s="19" t="s">
        <v>461</v>
      </c>
      <c r="D81" s="19" t="s">
        <v>473</v>
      </c>
      <c r="E81" s="19" t="s">
        <v>107</v>
      </c>
      <c r="F81" s="19" t="s">
        <v>470</v>
      </c>
      <c r="G81" s="19" t="s">
        <v>207</v>
      </c>
      <c r="H81" s="18" t="s">
        <v>174</v>
      </c>
      <c r="I81" s="18" t="s">
        <v>465</v>
      </c>
      <c r="J81" s="18" t="s">
        <v>466</v>
      </c>
      <c r="K81" s="18" t="s">
        <v>474</v>
      </c>
      <c r="L81" s="18" t="s">
        <v>472</v>
      </c>
      <c r="M81" s="17" t="n">
        <v>600</v>
      </c>
      <c r="N81" s="17" t="s">
        <v>111</v>
      </c>
      <c r="O81" s="17" t="n">
        <v>1800</v>
      </c>
      <c r="P81" s="17"/>
    </row>
    <row r="82" customFormat="false" ht="15" hidden="false" customHeight="true" outlineLevel="0" collapsed="false">
      <c r="A82" s="14" t="n">
        <v>81</v>
      </c>
      <c r="B82" s="15" t="s">
        <v>57</v>
      </c>
      <c r="C82" s="16" t="s">
        <v>461</v>
      </c>
      <c r="D82" s="16" t="s">
        <v>475</v>
      </c>
      <c r="E82" s="16" t="s">
        <v>107</v>
      </c>
      <c r="F82" s="16" t="s">
        <v>476</v>
      </c>
      <c r="G82" s="16" t="s">
        <v>477</v>
      </c>
      <c r="H82" s="15" t="s">
        <v>174</v>
      </c>
      <c r="I82" s="15" t="s">
        <v>478</v>
      </c>
      <c r="J82" s="15" t="s">
        <v>202</v>
      </c>
      <c r="K82" s="15" t="s">
        <v>479</v>
      </c>
      <c r="L82" s="15" t="s">
        <v>480</v>
      </c>
      <c r="M82" s="14" t="n">
        <v>340</v>
      </c>
      <c r="N82" s="14" t="s">
        <v>111</v>
      </c>
      <c r="O82" s="14" t="n">
        <v>1500</v>
      </c>
      <c r="P82" s="15" t="s">
        <v>481</v>
      </c>
    </row>
    <row r="83" customFormat="false" ht="15" hidden="false" customHeight="true" outlineLevel="0" collapsed="false">
      <c r="A83" s="17" t="n">
        <v>82</v>
      </c>
      <c r="B83" s="18" t="s">
        <v>57</v>
      </c>
      <c r="C83" s="19" t="s">
        <v>461</v>
      </c>
      <c r="D83" s="19" t="s">
        <v>482</v>
      </c>
      <c r="E83" s="19" t="s">
        <v>114</v>
      </c>
      <c r="F83" s="19" t="s">
        <v>287</v>
      </c>
      <c r="G83" s="19" t="s">
        <v>207</v>
      </c>
      <c r="H83" s="18" t="s">
        <v>196</v>
      </c>
      <c r="I83" s="18" t="s">
        <v>174</v>
      </c>
      <c r="J83" s="18" t="s">
        <v>465</v>
      </c>
      <c r="K83" s="18" t="s">
        <v>483</v>
      </c>
      <c r="L83" s="18" t="s">
        <v>385</v>
      </c>
      <c r="M83" s="17" t="n">
        <v>350</v>
      </c>
      <c r="N83" s="18" t="s">
        <v>177</v>
      </c>
      <c r="O83" s="17" t="n">
        <v>1300</v>
      </c>
      <c r="P83" s="18" t="s">
        <v>484</v>
      </c>
    </row>
    <row r="84" customFormat="false" ht="36.75" hidden="false" customHeight="true" outlineLevel="0" collapsed="false">
      <c r="A84" s="14" t="n">
        <v>83</v>
      </c>
      <c r="B84" s="15" t="s">
        <v>57</v>
      </c>
      <c r="C84" s="16" t="s">
        <v>461</v>
      </c>
      <c r="D84" s="16" t="s">
        <v>485</v>
      </c>
      <c r="E84" s="16" t="s">
        <v>486</v>
      </c>
      <c r="F84" s="16" t="s">
        <v>487</v>
      </c>
      <c r="G84" s="16" t="s">
        <v>488</v>
      </c>
      <c r="H84" s="15" t="s">
        <v>489</v>
      </c>
      <c r="I84" s="15" t="s">
        <v>490</v>
      </c>
      <c r="J84" s="15" t="s">
        <v>339</v>
      </c>
      <c r="K84" s="15" t="s">
        <v>202</v>
      </c>
      <c r="L84" s="15" t="s">
        <v>491</v>
      </c>
      <c r="M84" s="14" t="n">
        <v>262</v>
      </c>
      <c r="N84" s="14" t="s">
        <v>492</v>
      </c>
      <c r="O84" s="14" t="n">
        <v>1800</v>
      </c>
      <c r="P84" s="14" t="s">
        <v>493</v>
      </c>
    </row>
    <row r="85" customFormat="false" ht="15" hidden="false" customHeight="true" outlineLevel="0" collapsed="false">
      <c r="A85" s="17" t="n">
        <v>84</v>
      </c>
      <c r="B85" s="18" t="s">
        <v>57</v>
      </c>
      <c r="C85" s="19" t="s">
        <v>62</v>
      </c>
      <c r="D85" s="19" t="s">
        <v>494</v>
      </c>
      <c r="E85" s="19" t="s">
        <v>364</v>
      </c>
      <c r="F85" s="19" t="s">
        <v>342</v>
      </c>
      <c r="G85" s="19" t="s">
        <v>161</v>
      </c>
      <c r="H85" s="18" t="s">
        <v>460</v>
      </c>
      <c r="I85" s="18" t="s">
        <v>174</v>
      </c>
      <c r="J85" s="18" t="s">
        <v>474</v>
      </c>
      <c r="K85" s="18" t="s">
        <v>290</v>
      </c>
      <c r="L85" s="17" t="s">
        <v>110</v>
      </c>
      <c r="M85" s="17" t="n">
        <v>100</v>
      </c>
      <c r="N85" s="18" t="s">
        <v>120</v>
      </c>
      <c r="O85" s="17" t="n">
        <v>800</v>
      </c>
      <c r="P85" s="17"/>
    </row>
    <row r="86" customFormat="false" ht="15" hidden="false" customHeight="true" outlineLevel="0" collapsed="false">
      <c r="A86" s="14" t="n">
        <v>85</v>
      </c>
      <c r="B86" s="15" t="s">
        <v>57</v>
      </c>
      <c r="C86" s="16" t="s">
        <v>62</v>
      </c>
      <c r="D86" s="16" t="s">
        <v>495</v>
      </c>
      <c r="E86" s="16" t="s">
        <v>107</v>
      </c>
      <c r="F86" s="16" t="s">
        <v>496</v>
      </c>
      <c r="G86" s="16" t="s">
        <v>207</v>
      </c>
      <c r="H86" s="15" t="s">
        <v>165</v>
      </c>
      <c r="I86" s="15" t="s">
        <v>497</v>
      </c>
      <c r="J86" s="15" t="s">
        <v>208</v>
      </c>
      <c r="K86" s="15" t="s">
        <v>472</v>
      </c>
      <c r="L86" s="14" t="s">
        <v>110</v>
      </c>
      <c r="M86" s="14" t="n">
        <v>500</v>
      </c>
      <c r="N86" s="14" t="s">
        <v>111</v>
      </c>
      <c r="O86" s="14" t="n">
        <v>1800</v>
      </c>
      <c r="P86" s="14"/>
    </row>
    <row r="87" customFormat="false" ht="15" hidden="false" customHeight="true" outlineLevel="0" collapsed="false">
      <c r="A87" s="17" t="n">
        <v>86</v>
      </c>
      <c r="B87" s="18" t="s">
        <v>57</v>
      </c>
      <c r="C87" s="19" t="s">
        <v>62</v>
      </c>
      <c r="D87" s="19" t="s">
        <v>498</v>
      </c>
      <c r="E87" s="19" t="s">
        <v>114</v>
      </c>
      <c r="F87" s="19" t="s">
        <v>395</v>
      </c>
      <c r="G87" s="19" t="s">
        <v>389</v>
      </c>
      <c r="H87" s="18" t="s">
        <v>199</v>
      </c>
      <c r="I87" s="18" t="s">
        <v>460</v>
      </c>
      <c r="J87" s="18" t="s">
        <v>174</v>
      </c>
      <c r="K87" s="18" t="s">
        <v>290</v>
      </c>
      <c r="L87" s="17" t="s">
        <v>110</v>
      </c>
      <c r="M87" s="17" t="n">
        <v>140</v>
      </c>
      <c r="N87" s="17" t="s">
        <v>111</v>
      </c>
      <c r="O87" s="17" t="n">
        <v>1200</v>
      </c>
      <c r="P87" s="17"/>
    </row>
    <row r="88" customFormat="false" ht="15" hidden="false" customHeight="true" outlineLevel="0" collapsed="false">
      <c r="A88" s="14" t="n">
        <v>87</v>
      </c>
      <c r="B88" s="15" t="s">
        <v>57</v>
      </c>
      <c r="C88" s="16" t="s">
        <v>62</v>
      </c>
      <c r="D88" s="16" t="s">
        <v>499</v>
      </c>
      <c r="E88" s="16" t="s">
        <v>364</v>
      </c>
      <c r="F88" s="16" t="s">
        <v>287</v>
      </c>
      <c r="G88" s="16" t="s">
        <v>464</v>
      </c>
      <c r="H88" s="15" t="s">
        <v>500</v>
      </c>
      <c r="I88" s="15" t="s">
        <v>451</v>
      </c>
      <c r="J88" s="15" t="s">
        <v>174</v>
      </c>
      <c r="K88" s="15" t="s">
        <v>290</v>
      </c>
      <c r="L88" s="14" t="s">
        <v>110</v>
      </c>
      <c r="M88" s="14" t="n">
        <v>340</v>
      </c>
      <c r="N88" s="14" t="s">
        <v>111</v>
      </c>
      <c r="O88" s="14" t="n">
        <v>1500</v>
      </c>
      <c r="P88" s="14"/>
    </row>
    <row r="89" customFormat="false" ht="15" hidden="false" customHeight="true" outlineLevel="0" collapsed="false">
      <c r="A89" s="17" t="n">
        <v>88</v>
      </c>
      <c r="B89" s="18" t="s">
        <v>57</v>
      </c>
      <c r="C89" s="19" t="s">
        <v>62</v>
      </c>
      <c r="D89" s="19" t="s">
        <v>501</v>
      </c>
      <c r="E89" s="19" t="s">
        <v>502</v>
      </c>
      <c r="F89" s="19" t="s">
        <v>116</v>
      </c>
      <c r="G89" s="19" t="s">
        <v>389</v>
      </c>
      <c r="H89" s="18" t="s">
        <v>500</v>
      </c>
      <c r="I89" s="18" t="s">
        <v>503</v>
      </c>
      <c r="J89" s="18" t="s">
        <v>504</v>
      </c>
      <c r="K89" s="18" t="s">
        <v>174</v>
      </c>
      <c r="L89" s="18" t="s">
        <v>385</v>
      </c>
      <c r="M89" s="17" t="n">
        <v>100</v>
      </c>
      <c r="N89" s="18" t="s">
        <v>120</v>
      </c>
      <c r="O89" s="17" t="n">
        <v>3000</v>
      </c>
      <c r="P89" s="18" t="s">
        <v>505</v>
      </c>
    </row>
    <row r="90" customFormat="false" ht="15" hidden="false" customHeight="true" outlineLevel="0" collapsed="false">
      <c r="A90" s="14" t="n">
        <v>89</v>
      </c>
      <c r="B90" s="15" t="s">
        <v>25</v>
      </c>
      <c r="C90" s="16" t="s">
        <v>30</v>
      </c>
      <c r="D90" s="16" t="s">
        <v>506</v>
      </c>
      <c r="E90" s="16" t="s">
        <v>142</v>
      </c>
      <c r="F90" s="16" t="s">
        <v>416</v>
      </c>
      <c r="G90" s="16" t="s">
        <v>507</v>
      </c>
      <c r="H90" s="15" t="s">
        <v>508</v>
      </c>
      <c r="I90" s="15" t="s">
        <v>509</v>
      </c>
      <c r="J90" s="15" t="s">
        <v>411</v>
      </c>
      <c r="K90" s="15" t="s">
        <v>174</v>
      </c>
      <c r="L90" s="14" t="s">
        <v>110</v>
      </c>
      <c r="M90" s="14" t="n">
        <v>65</v>
      </c>
      <c r="N90" s="14" t="s">
        <v>510</v>
      </c>
      <c r="O90" s="14" t="n">
        <v>300</v>
      </c>
      <c r="P90" s="15" t="s">
        <v>511</v>
      </c>
    </row>
    <row r="91" customFormat="false" ht="15" hidden="false" customHeight="true" outlineLevel="0" collapsed="false">
      <c r="A91" s="17" t="n">
        <v>90</v>
      </c>
      <c r="B91" s="18" t="s">
        <v>25</v>
      </c>
      <c r="C91" s="19" t="s">
        <v>30</v>
      </c>
      <c r="D91" s="19" t="s">
        <v>512</v>
      </c>
      <c r="E91" s="19" t="s">
        <v>142</v>
      </c>
      <c r="F91" s="19" t="s">
        <v>322</v>
      </c>
      <c r="G91" s="19" t="s">
        <v>513</v>
      </c>
      <c r="H91" s="18" t="s">
        <v>514</v>
      </c>
      <c r="I91" s="18" t="s">
        <v>515</v>
      </c>
      <c r="J91" s="18" t="s">
        <v>174</v>
      </c>
      <c r="K91" s="18" t="s">
        <v>411</v>
      </c>
      <c r="L91" s="18" t="s">
        <v>516</v>
      </c>
      <c r="M91" s="17" t="n">
        <v>150</v>
      </c>
      <c r="N91" s="17" t="s">
        <v>111</v>
      </c>
      <c r="O91" s="17" t="n">
        <v>2000</v>
      </c>
      <c r="P91" s="18" t="s">
        <v>326</v>
      </c>
    </row>
    <row r="92" customFormat="false" ht="15" hidden="false" customHeight="true" outlineLevel="0" collapsed="false">
      <c r="A92" s="14" t="n">
        <v>91</v>
      </c>
      <c r="B92" s="15" t="s">
        <v>25</v>
      </c>
      <c r="C92" s="16" t="s">
        <v>30</v>
      </c>
      <c r="D92" s="16" t="s">
        <v>517</v>
      </c>
      <c r="E92" s="16" t="s">
        <v>133</v>
      </c>
      <c r="F92" s="16" t="s">
        <v>322</v>
      </c>
      <c r="G92" s="16" t="s">
        <v>518</v>
      </c>
      <c r="H92" s="15" t="s">
        <v>514</v>
      </c>
      <c r="I92" s="15" t="s">
        <v>172</v>
      </c>
      <c r="J92" s="15" t="s">
        <v>519</v>
      </c>
      <c r="K92" s="15" t="s">
        <v>411</v>
      </c>
      <c r="L92" s="15" t="s">
        <v>174</v>
      </c>
      <c r="M92" s="14" t="n">
        <v>150</v>
      </c>
      <c r="N92" s="14" t="s">
        <v>111</v>
      </c>
      <c r="O92" s="14" t="n">
        <v>1500</v>
      </c>
      <c r="P92" s="14"/>
    </row>
    <row r="93" customFormat="false" ht="15" hidden="false" customHeight="true" outlineLevel="0" collapsed="false">
      <c r="A93" s="17" t="n">
        <v>92</v>
      </c>
      <c r="B93" s="18" t="s">
        <v>25</v>
      </c>
      <c r="C93" s="19" t="s">
        <v>26</v>
      </c>
      <c r="D93" s="19" t="s">
        <v>29</v>
      </c>
      <c r="E93" s="19" t="s">
        <v>221</v>
      </c>
      <c r="F93" s="19" t="s">
        <v>205</v>
      </c>
      <c r="G93" s="19" t="s">
        <v>520</v>
      </c>
      <c r="H93" s="18" t="s">
        <v>172</v>
      </c>
      <c r="I93" s="18" t="s">
        <v>521</v>
      </c>
      <c r="J93" s="18" t="s">
        <v>224</v>
      </c>
      <c r="K93" s="18" t="s">
        <v>411</v>
      </c>
      <c r="L93" s="17" t="s">
        <v>110</v>
      </c>
      <c r="M93" s="17" t="n">
        <v>345</v>
      </c>
      <c r="N93" s="17" t="s">
        <v>111</v>
      </c>
      <c r="O93" s="17" t="n">
        <v>1200</v>
      </c>
      <c r="P93" s="18" t="s">
        <v>522</v>
      </c>
    </row>
    <row r="94" customFormat="false" ht="15" hidden="false" customHeight="true" outlineLevel="0" collapsed="false">
      <c r="A94" s="14" t="n">
        <v>93</v>
      </c>
      <c r="B94" s="15" t="s">
        <v>25</v>
      </c>
      <c r="C94" s="16" t="s">
        <v>30</v>
      </c>
      <c r="D94" s="16" t="s">
        <v>523</v>
      </c>
      <c r="E94" s="16" t="s">
        <v>361</v>
      </c>
      <c r="F94" s="16" t="s">
        <v>524</v>
      </c>
      <c r="G94" s="16" t="s">
        <v>525</v>
      </c>
      <c r="H94" s="15" t="s">
        <v>514</v>
      </c>
      <c r="I94" s="15" t="s">
        <v>526</v>
      </c>
      <c r="J94" s="15" t="s">
        <v>174</v>
      </c>
      <c r="K94" s="15" t="s">
        <v>411</v>
      </c>
      <c r="L94" s="15" t="s">
        <v>202</v>
      </c>
      <c r="M94" s="14" t="n">
        <v>130</v>
      </c>
      <c r="N94" s="14" t="s">
        <v>111</v>
      </c>
      <c r="O94" s="14" t="n">
        <v>1500</v>
      </c>
      <c r="P94" s="14"/>
    </row>
    <row r="95" customFormat="false" ht="21.75" hidden="false" customHeight="true" outlineLevel="0" collapsed="false">
      <c r="A95" s="17" t="n">
        <v>94</v>
      </c>
      <c r="B95" s="18" t="s">
        <v>25</v>
      </c>
      <c r="C95" s="19" t="s">
        <v>30</v>
      </c>
      <c r="D95" s="19" t="s">
        <v>527</v>
      </c>
      <c r="E95" s="19" t="s">
        <v>159</v>
      </c>
      <c r="F95" s="19" t="s">
        <v>528</v>
      </c>
      <c r="G95" s="19" t="s">
        <v>525</v>
      </c>
      <c r="H95" s="18" t="s">
        <v>529</v>
      </c>
      <c r="I95" s="18" t="s">
        <v>188</v>
      </c>
      <c r="J95" s="18" t="s">
        <v>174</v>
      </c>
      <c r="K95" s="18" t="s">
        <v>530</v>
      </c>
      <c r="L95" s="18" t="s">
        <v>531</v>
      </c>
      <c r="M95" s="17" t="n">
        <v>130</v>
      </c>
      <c r="N95" s="17" t="s">
        <v>166</v>
      </c>
      <c r="O95" s="17" t="n">
        <v>800</v>
      </c>
      <c r="P95" s="17" t="s">
        <v>167</v>
      </c>
    </row>
    <row r="96" customFormat="false" ht="15" hidden="false" customHeight="true" outlineLevel="0" collapsed="false">
      <c r="A96" s="14" t="n">
        <v>95</v>
      </c>
      <c r="B96" s="15" t="s">
        <v>70</v>
      </c>
      <c r="C96" s="16" t="s">
        <v>70</v>
      </c>
      <c r="D96" s="16" t="s">
        <v>532</v>
      </c>
      <c r="E96" s="16" t="s">
        <v>137</v>
      </c>
      <c r="F96" s="16" t="s">
        <v>205</v>
      </c>
      <c r="G96" s="16" t="s">
        <v>533</v>
      </c>
      <c r="H96" s="15" t="s">
        <v>239</v>
      </c>
      <c r="I96" s="15" t="s">
        <v>172</v>
      </c>
      <c r="J96" s="15" t="s">
        <v>174</v>
      </c>
      <c r="K96" s="15" t="s">
        <v>534</v>
      </c>
      <c r="L96" s="14" t="s">
        <v>232</v>
      </c>
      <c r="M96" s="14" t="n">
        <v>340</v>
      </c>
      <c r="N96" s="15" t="s">
        <v>177</v>
      </c>
      <c r="O96" s="14" t="n">
        <v>1500</v>
      </c>
      <c r="P96" s="15" t="s">
        <v>192</v>
      </c>
    </row>
    <row r="97" customFormat="false" ht="15" hidden="false" customHeight="true" outlineLevel="0" collapsed="false">
      <c r="A97" s="17" t="n">
        <v>96</v>
      </c>
      <c r="B97" s="18" t="s">
        <v>70</v>
      </c>
      <c r="C97" s="19" t="s">
        <v>70</v>
      </c>
      <c r="D97" s="19" t="s">
        <v>535</v>
      </c>
      <c r="E97" s="19" t="s">
        <v>301</v>
      </c>
      <c r="F97" s="19" t="s">
        <v>130</v>
      </c>
      <c r="G97" s="19" t="s">
        <v>536</v>
      </c>
      <c r="H97" s="18" t="s">
        <v>188</v>
      </c>
      <c r="I97" s="18" t="s">
        <v>196</v>
      </c>
      <c r="J97" s="18" t="s">
        <v>174</v>
      </c>
      <c r="K97" s="18" t="s">
        <v>537</v>
      </c>
      <c r="L97" s="18" t="s">
        <v>385</v>
      </c>
      <c r="M97" s="17" t="n">
        <v>250</v>
      </c>
      <c r="N97" s="18" t="s">
        <v>177</v>
      </c>
      <c r="O97" s="17" t="n">
        <v>1000</v>
      </c>
      <c r="P97" s="18" t="s">
        <v>538</v>
      </c>
    </row>
    <row r="98" customFormat="false" ht="15" hidden="false" customHeight="true" outlineLevel="0" collapsed="false">
      <c r="A98" s="14" t="n">
        <v>97</v>
      </c>
      <c r="B98" s="15" t="s">
        <v>70</v>
      </c>
      <c r="C98" s="16" t="s">
        <v>70</v>
      </c>
      <c r="D98" s="16" t="s">
        <v>539</v>
      </c>
      <c r="E98" s="16" t="s">
        <v>137</v>
      </c>
      <c r="F98" s="16" t="s">
        <v>146</v>
      </c>
      <c r="G98" s="16" t="s">
        <v>540</v>
      </c>
      <c r="H98" s="15" t="s">
        <v>389</v>
      </c>
      <c r="I98" s="15" t="s">
        <v>196</v>
      </c>
      <c r="J98" s="15" t="s">
        <v>174</v>
      </c>
      <c r="K98" s="15" t="s">
        <v>541</v>
      </c>
      <c r="L98" s="15" t="s">
        <v>202</v>
      </c>
      <c r="M98" s="14" t="n">
        <v>355</v>
      </c>
      <c r="N98" s="15" t="s">
        <v>177</v>
      </c>
      <c r="O98" s="14" t="n">
        <v>1300</v>
      </c>
      <c r="P98" s="14"/>
    </row>
    <row r="99" customFormat="false" ht="15" hidden="false" customHeight="true" outlineLevel="0" collapsed="false">
      <c r="A99" s="17" t="n">
        <v>98</v>
      </c>
      <c r="B99" s="18" t="s">
        <v>70</v>
      </c>
      <c r="C99" s="19" t="s">
        <v>70</v>
      </c>
      <c r="D99" s="19" t="s">
        <v>542</v>
      </c>
      <c r="E99" s="21" t="s">
        <v>543</v>
      </c>
      <c r="F99" s="19" t="s">
        <v>186</v>
      </c>
      <c r="G99" s="19" t="s">
        <v>229</v>
      </c>
      <c r="H99" s="18" t="s">
        <v>172</v>
      </c>
      <c r="I99" s="18" t="s">
        <v>174</v>
      </c>
      <c r="J99" s="18" t="s">
        <v>544</v>
      </c>
      <c r="K99" s="17" t="s">
        <v>232</v>
      </c>
      <c r="L99" s="18" t="s">
        <v>202</v>
      </c>
      <c r="M99" s="17" t="n">
        <v>500</v>
      </c>
      <c r="N99" s="17" t="s">
        <v>111</v>
      </c>
      <c r="O99" s="17" t="n">
        <v>1800</v>
      </c>
      <c r="P99" s="18" t="s">
        <v>192</v>
      </c>
    </row>
    <row r="100" customFormat="false" ht="15" hidden="false" customHeight="true" outlineLevel="0" collapsed="false">
      <c r="A100" s="14" t="n">
        <v>99</v>
      </c>
      <c r="B100" s="15" t="s">
        <v>70</v>
      </c>
      <c r="C100" s="16" t="s">
        <v>70</v>
      </c>
      <c r="D100" s="16" t="s">
        <v>545</v>
      </c>
      <c r="E100" s="16" t="s">
        <v>114</v>
      </c>
      <c r="F100" s="16" t="s">
        <v>546</v>
      </c>
      <c r="G100" s="16" t="s">
        <v>435</v>
      </c>
      <c r="H100" s="15" t="s">
        <v>208</v>
      </c>
      <c r="I100" s="15" t="s">
        <v>202</v>
      </c>
      <c r="J100" s="14" t="s">
        <v>110</v>
      </c>
      <c r="K100" s="14" t="s">
        <v>110</v>
      </c>
      <c r="L100" s="14" t="s">
        <v>110</v>
      </c>
      <c r="M100" s="14" t="n">
        <v>340</v>
      </c>
      <c r="N100" s="14" t="s">
        <v>111</v>
      </c>
      <c r="O100" s="14" t="n">
        <v>2000</v>
      </c>
      <c r="P100" s="14"/>
    </row>
    <row r="101" customFormat="false" ht="21.75" hidden="false" customHeight="true" outlineLevel="0" collapsed="false">
      <c r="A101" s="17" t="n">
        <v>100</v>
      </c>
      <c r="B101" s="18" t="s">
        <v>70</v>
      </c>
      <c r="C101" s="19" t="s">
        <v>70</v>
      </c>
      <c r="D101" s="19" t="s">
        <v>547</v>
      </c>
      <c r="E101" s="19" t="s">
        <v>159</v>
      </c>
      <c r="F101" s="19" t="s">
        <v>548</v>
      </c>
      <c r="G101" s="19" t="s">
        <v>549</v>
      </c>
      <c r="H101" s="18" t="s">
        <v>550</v>
      </c>
      <c r="I101" s="18" t="s">
        <v>551</v>
      </c>
      <c r="J101" s="18" t="s">
        <v>552</v>
      </c>
      <c r="K101" s="18" t="s">
        <v>553</v>
      </c>
      <c r="L101" s="18" t="s">
        <v>418</v>
      </c>
      <c r="M101" s="17" t="n">
        <v>240</v>
      </c>
      <c r="N101" s="17" t="s">
        <v>166</v>
      </c>
      <c r="O101" s="17" t="n">
        <v>1500</v>
      </c>
      <c r="P101" s="17" t="s">
        <v>554</v>
      </c>
    </row>
    <row r="102" customFormat="false" ht="15" hidden="false" customHeight="true" outlineLevel="0" collapsed="false">
      <c r="A102" s="14" t="n">
        <v>101</v>
      </c>
      <c r="B102" s="15" t="s">
        <v>74</v>
      </c>
      <c r="C102" s="16" t="s">
        <v>75</v>
      </c>
      <c r="D102" s="16" t="s">
        <v>555</v>
      </c>
      <c r="E102" s="20" t="s">
        <v>556</v>
      </c>
      <c r="F102" s="16" t="s">
        <v>109</v>
      </c>
      <c r="G102" s="16" t="s">
        <v>557</v>
      </c>
      <c r="H102" s="15" t="s">
        <v>397</v>
      </c>
      <c r="I102" s="15" t="s">
        <v>558</v>
      </c>
      <c r="J102" s="15" t="s">
        <v>559</v>
      </c>
      <c r="K102" s="15" t="s">
        <v>560</v>
      </c>
      <c r="L102" s="15" t="s">
        <v>385</v>
      </c>
      <c r="M102" s="14" t="n">
        <v>50</v>
      </c>
      <c r="N102" s="15" t="s">
        <v>125</v>
      </c>
      <c r="O102" s="14" t="n">
        <v>2500</v>
      </c>
      <c r="P102" s="15" t="s">
        <v>561</v>
      </c>
    </row>
    <row r="103" customFormat="false" ht="15" hidden="false" customHeight="true" outlineLevel="0" collapsed="false">
      <c r="A103" s="17" t="n">
        <v>102</v>
      </c>
      <c r="B103" s="18" t="s">
        <v>74</v>
      </c>
      <c r="C103" s="19" t="s">
        <v>75</v>
      </c>
      <c r="D103" s="21" t="s">
        <v>562</v>
      </c>
      <c r="E103" s="21" t="s">
        <v>286</v>
      </c>
      <c r="F103" s="19" t="s">
        <v>116</v>
      </c>
      <c r="G103" s="19" t="s">
        <v>563</v>
      </c>
      <c r="H103" s="18" t="s">
        <v>207</v>
      </c>
      <c r="I103" s="18" t="s">
        <v>558</v>
      </c>
      <c r="J103" s="18" t="s">
        <v>559</v>
      </c>
      <c r="K103" s="18" t="s">
        <v>560</v>
      </c>
      <c r="L103" s="18" t="s">
        <v>385</v>
      </c>
      <c r="M103" s="17" t="n">
        <v>120</v>
      </c>
      <c r="N103" s="17" t="s">
        <v>111</v>
      </c>
      <c r="O103" s="17" t="n">
        <v>2000</v>
      </c>
      <c r="P103" s="17"/>
    </row>
    <row r="104" customFormat="false" ht="15" hidden="false" customHeight="true" outlineLevel="0" collapsed="false">
      <c r="A104" s="14" t="n">
        <v>103</v>
      </c>
      <c r="B104" s="15" t="s">
        <v>74</v>
      </c>
      <c r="C104" s="16" t="s">
        <v>75</v>
      </c>
      <c r="D104" s="16" t="s">
        <v>564</v>
      </c>
      <c r="E104" s="16" t="s">
        <v>364</v>
      </c>
      <c r="F104" s="16" t="s">
        <v>395</v>
      </c>
      <c r="G104" s="16" t="s">
        <v>565</v>
      </c>
      <c r="H104" s="15" t="s">
        <v>566</v>
      </c>
      <c r="I104" s="15" t="s">
        <v>567</v>
      </c>
      <c r="J104" s="15" t="s">
        <v>568</v>
      </c>
      <c r="K104" s="15" t="s">
        <v>385</v>
      </c>
      <c r="L104" s="14" t="s">
        <v>110</v>
      </c>
      <c r="M104" s="14" t="n">
        <v>100</v>
      </c>
      <c r="N104" s="15" t="s">
        <v>120</v>
      </c>
      <c r="O104" s="14" t="n">
        <v>1500</v>
      </c>
      <c r="P104" s="14"/>
    </row>
    <row r="105" customFormat="false" ht="15" hidden="false" customHeight="true" outlineLevel="0" collapsed="false">
      <c r="A105" s="17" t="n">
        <v>104</v>
      </c>
      <c r="B105" s="18" t="s">
        <v>74</v>
      </c>
      <c r="C105" s="19" t="s">
        <v>75</v>
      </c>
      <c r="D105" s="19" t="s">
        <v>569</v>
      </c>
      <c r="E105" s="19" t="s">
        <v>570</v>
      </c>
      <c r="F105" s="19" t="s">
        <v>130</v>
      </c>
      <c r="G105" s="19" t="s">
        <v>571</v>
      </c>
      <c r="H105" s="18" t="s">
        <v>397</v>
      </c>
      <c r="I105" s="18" t="s">
        <v>572</v>
      </c>
      <c r="J105" s="18" t="s">
        <v>573</v>
      </c>
      <c r="K105" s="18" t="s">
        <v>560</v>
      </c>
      <c r="L105" s="17" t="s">
        <v>110</v>
      </c>
      <c r="M105" s="17" t="n">
        <v>70</v>
      </c>
      <c r="N105" s="18" t="s">
        <v>125</v>
      </c>
      <c r="O105" s="17" t="n">
        <v>3000</v>
      </c>
      <c r="P105" s="17"/>
    </row>
    <row r="106" customFormat="false" ht="15" hidden="false" customHeight="true" outlineLevel="0" collapsed="false">
      <c r="A106" s="14" t="n">
        <v>105</v>
      </c>
      <c r="B106" s="15" t="s">
        <v>74</v>
      </c>
      <c r="C106" s="16" t="s">
        <v>75</v>
      </c>
      <c r="D106" s="16" t="s">
        <v>574</v>
      </c>
      <c r="E106" s="16" t="s">
        <v>301</v>
      </c>
      <c r="F106" s="16" t="s">
        <v>116</v>
      </c>
      <c r="G106" s="16" t="s">
        <v>575</v>
      </c>
      <c r="H106" s="15" t="s">
        <v>576</v>
      </c>
      <c r="I106" s="15" t="s">
        <v>558</v>
      </c>
      <c r="J106" s="15" t="s">
        <v>559</v>
      </c>
      <c r="K106" s="15" t="s">
        <v>385</v>
      </c>
      <c r="L106" s="14" t="s">
        <v>110</v>
      </c>
      <c r="M106" s="14" t="n">
        <v>100</v>
      </c>
      <c r="N106" s="15" t="s">
        <v>120</v>
      </c>
      <c r="O106" s="14" t="n">
        <v>2000</v>
      </c>
      <c r="P106" s="14"/>
    </row>
    <row r="107" customFormat="false" ht="15" hidden="false" customHeight="true" outlineLevel="0" collapsed="false">
      <c r="A107" s="17" t="n">
        <v>106</v>
      </c>
      <c r="B107" s="18" t="s">
        <v>74</v>
      </c>
      <c r="C107" s="19" t="s">
        <v>79</v>
      </c>
      <c r="D107" s="19" t="s">
        <v>577</v>
      </c>
      <c r="E107" s="19" t="s">
        <v>578</v>
      </c>
      <c r="F107" s="19" t="s">
        <v>186</v>
      </c>
      <c r="G107" s="19" t="s">
        <v>579</v>
      </c>
      <c r="H107" s="18" t="s">
        <v>580</v>
      </c>
      <c r="I107" s="18" t="s">
        <v>313</v>
      </c>
      <c r="J107" s="18" t="s">
        <v>581</v>
      </c>
      <c r="K107" s="18" t="s">
        <v>367</v>
      </c>
      <c r="L107" s="17" t="s">
        <v>110</v>
      </c>
      <c r="M107" s="17" t="n">
        <v>238</v>
      </c>
      <c r="N107" s="18" t="s">
        <v>177</v>
      </c>
      <c r="O107" s="17" t="n">
        <v>1200</v>
      </c>
      <c r="P107" s="18" t="s">
        <v>582</v>
      </c>
    </row>
    <row r="108" customFormat="false" ht="15" hidden="false" customHeight="true" outlineLevel="0" collapsed="false">
      <c r="A108" s="14" t="n">
        <v>107</v>
      </c>
      <c r="B108" s="15" t="s">
        <v>74</v>
      </c>
      <c r="C108" s="16" t="s">
        <v>79</v>
      </c>
      <c r="D108" s="16" t="s">
        <v>583</v>
      </c>
      <c r="E108" s="16" t="s">
        <v>578</v>
      </c>
      <c r="F108" s="16" t="s">
        <v>146</v>
      </c>
      <c r="G108" s="16" t="s">
        <v>584</v>
      </c>
      <c r="H108" s="15" t="s">
        <v>585</v>
      </c>
      <c r="I108" s="15" t="s">
        <v>313</v>
      </c>
      <c r="J108" s="15" t="s">
        <v>586</v>
      </c>
      <c r="K108" s="15" t="s">
        <v>587</v>
      </c>
      <c r="L108" s="14" t="s">
        <v>110</v>
      </c>
      <c r="M108" s="14" t="n">
        <v>238</v>
      </c>
      <c r="N108" s="15" t="s">
        <v>177</v>
      </c>
      <c r="O108" s="14" t="n">
        <v>1200</v>
      </c>
      <c r="P108" s="15" t="s">
        <v>582</v>
      </c>
    </row>
    <row r="109" customFormat="false" ht="15" hidden="false" customHeight="true" outlineLevel="0" collapsed="false">
      <c r="A109" s="17" t="n">
        <v>108</v>
      </c>
      <c r="B109" s="18" t="s">
        <v>74</v>
      </c>
      <c r="C109" s="19" t="s">
        <v>79</v>
      </c>
      <c r="D109" s="19" t="s">
        <v>588</v>
      </c>
      <c r="E109" s="19" t="s">
        <v>114</v>
      </c>
      <c r="F109" s="19" t="s">
        <v>228</v>
      </c>
      <c r="G109" s="19" t="s">
        <v>589</v>
      </c>
      <c r="H109" s="18" t="s">
        <v>580</v>
      </c>
      <c r="I109" s="18" t="s">
        <v>313</v>
      </c>
      <c r="J109" s="18" t="s">
        <v>581</v>
      </c>
      <c r="K109" s="18" t="s">
        <v>367</v>
      </c>
      <c r="L109" s="17" t="s">
        <v>110</v>
      </c>
      <c r="M109" s="17" t="n">
        <v>340</v>
      </c>
      <c r="N109" s="17" t="s">
        <v>111</v>
      </c>
      <c r="O109" s="17" t="n">
        <v>1500</v>
      </c>
      <c r="P109" s="17"/>
    </row>
    <row r="110" customFormat="false" ht="15" hidden="false" customHeight="true" outlineLevel="0" collapsed="false">
      <c r="A110" s="14" t="n">
        <v>109</v>
      </c>
      <c r="B110" s="15" t="s">
        <v>74</v>
      </c>
      <c r="C110" s="16" t="s">
        <v>79</v>
      </c>
      <c r="D110" s="16" t="s">
        <v>590</v>
      </c>
      <c r="E110" s="16" t="s">
        <v>403</v>
      </c>
      <c r="F110" s="16" t="s">
        <v>591</v>
      </c>
      <c r="G110" s="16" t="s">
        <v>579</v>
      </c>
      <c r="H110" s="15" t="s">
        <v>592</v>
      </c>
      <c r="I110" s="15" t="s">
        <v>313</v>
      </c>
      <c r="J110" s="15" t="s">
        <v>581</v>
      </c>
      <c r="K110" s="15" t="s">
        <v>367</v>
      </c>
      <c r="L110" s="14" t="s">
        <v>110</v>
      </c>
      <c r="M110" s="14" t="n">
        <v>238</v>
      </c>
      <c r="N110" s="15" t="s">
        <v>177</v>
      </c>
      <c r="O110" s="14" t="n">
        <v>1300</v>
      </c>
      <c r="P110" s="15" t="s">
        <v>326</v>
      </c>
    </row>
    <row r="111" customFormat="false" ht="15" hidden="false" customHeight="true" outlineLevel="0" collapsed="false">
      <c r="A111" s="17" t="n">
        <v>110</v>
      </c>
      <c r="B111" s="18" t="s">
        <v>74</v>
      </c>
      <c r="C111" s="19" t="s">
        <v>79</v>
      </c>
      <c r="D111" s="19" t="s">
        <v>593</v>
      </c>
      <c r="E111" s="19" t="s">
        <v>372</v>
      </c>
      <c r="F111" s="19" t="s">
        <v>180</v>
      </c>
      <c r="G111" s="19" t="s">
        <v>584</v>
      </c>
      <c r="H111" s="18" t="s">
        <v>585</v>
      </c>
      <c r="I111" s="18" t="s">
        <v>550</v>
      </c>
      <c r="J111" s="18" t="s">
        <v>586</v>
      </c>
      <c r="K111" s="17" t="s">
        <v>110</v>
      </c>
      <c r="L111" s="17" t="s">
        <v>110</v>
      </c>
      <c r="M111" s="17" t="n">
        <v>238</v>
      </c>
      <c r="N111" s="17" t="s">
        <v>233</v>
      </c>
      <c r="O111" s="17" t="n">
        <v>1300</v>
      </c>
      <c r="P111" s="17" t="s">
        <v>291</v>
      </c>
    </row>
    <row r="112" customFormat="false" ht="15" hidden="false" customHeight="true" outlineLevel="0" collapsed="false">
      <c r="A112" s="14" t="n">
        <v>111</v>
      </c>
      <c r="B112" s="15" t="s">
        <v>74</v>
      </c>
      <c r="C112" s="16" t="s">
        <v>594</v>
      </c>
      <c r="D112" s="16" t="s">
        <v>595</v>
      </c>
      <c r="E112" s="16" t="s">
        <v>596</v>
      </c>
      <c r="F112" s="16" t="s">
        <v>597</v>
      </c>
      <c r="G112" s="16" t="s">
        <v>187</v>
      </c>
      <c r="H112" s="15" t="s">
        <v>598</v>
      </c>
      <c r="I112" s="15" t="s">
        <v>599</v>
      </c>
      <c r="J112" s="15" t="s">
        <v>600</v>
      </c>
      <c r="K112" s="15" t="s">
        <v>601</v>
      </c>
      <c r="L112" s="15" t="s">
        <v>468</v>
      </c>
      <c r="M112" s="14" t="n">
        <v>130</v>
      </c>
      <c r="N112" s="15" t="s">
        <v>125</v>
      </c>
      <c r="O112" s="14" t="n">
        <v>2500</v>
      </c>
      <c r="P112" s="15" t="s">
        <v>275</v>
      </c>
    </row>
    <row r="113" customFormat="false" ht="15" hidden="false" customHeight="true" outlineLevel="0" collapsed="false">
      <c r="A113" s="17" t="n">
        <v>112</v>
      </c>
      <c r="B113" s="18" t="s">
        <v>74</v>
      </c>
      <c r="C113" s="19" t="s">
        <v>594</v>
      </c>
      <c r="D113" s="21" t="s">
        <v>602</v>
      </c>
      <c r="E113" s="21" t="s">
        <v>286</v>
      </c>
      <c r="F113" s="19" t="s">
        <v>205</v>
      </c>
      <c r="G113" s="19" t="s">
        <v>603</v>
      </c>
      <c r="H113" s="18" t="s">
        <v>604</v>
      </c>
      <c r="I113" s="18" t="s">
        <v>172</v>
      </c>
      <c r="J113" s="18" t="s">
        <v>174</v>
      </c>
      <c r="K113" s="18" t="s">
        <v>225</v>
      </c>
      <c r="L113" s="18" t="s">
        <v>605</v>
      </c>
      <c r="M113" s="17" t="n">
        <v>130</v>
      </c>
      <c r="N113" s="18" t="s">
        <v>125</v>
      </c>
      <c r="O113" s="17" t="n">
        <v>1800</v>
      </c>
      <c r="P113" s="17"/>
    </row>
    <row r="114" customFormat="false" ht="15" hidden="false" customHeight="true" outlineLevel="0" collapsed="false">
      <c r="A114" s="14" t="n">
        <v>113</v>
      </c>
      <c r="B114" s="15" t="s">
        <v>74</v>
      </c>
      <c r="C114" s="16" t="s">
        <v>594</v>
      </c>
      <c r="D114" s="16" t="s">
        <v>606</v>
      </c>
      <c r="E114" s="16" t="s">
        <v>372</v>
      </c>
      <c r="F114" s="16" t="s">
        <v>205</v>
      </c>
      <c r="G114" s="16" t="s">
        <v>607</v>
      </c>
      <c r="H114" s="15" t="s">
        <v>604</v>
      </c>
      <c r="I114" s="15" t="s">
        <v>172</v>
      </c>
      <c r="J114" s="15" t="s">
        <v>174</v>
      </c>
      <c r="K114" s="15" t="s">
        <v>608</v>
      </c>
      <c r="L114" s="15" t="s">
        <v>605</v>
      </c>
      <c r="M114" s="14" t="n">
        <v>130</v>
      </c>
      <c r="N114" s="15" t="s">
        <v>125</v>
      </c>
      <c r="O114" s="14" t="n">
        <v>1500</v>
      </c>
      <c r="P114" s="14"/>
    </row>
    <row r="115" customFormat="false" ht="15" hidden="false" customHeight="true" outlineLevel="0" collapsed="false">
      <c r="A115" s="17" t="n">
        <v>114</v>
      </c>
      <c r="B115" s="18" t="s">
        <v>74</v>
      </c>
      <c r="C115" s="19" t="s">
        <v>594</v>
      </c>
      <c r="D115" s="19" t="s">
        <v>609</v>
      </c>
      <c r="E115" s="19" t="s">
        <v>596</v>
      </c>
      <c r="F115" s="19" t="s">
        <v>597</v>
      </c>
      <c r="G115" s="19" t="s">
        <v>238</v>
      </c>
      <c r="H115" s="18" t="s">
        <v>598</v>
      </c>
      <c r="I115" s="18" t="s">
        <v>599</v>
      </c>
      <c r="J115" s="18" t="s">
        <v>600</v>
      </c>
      <c r="K115" s="18" t="s">
        <v>266</v>
      </c>
      <c r="L115" s="18" t="s">
        <v>468</v>
      </c>
      <c r="M115" s="17" t="n">
        <v>130</v>
      </c>
      <c r="N115" s="18" t="s">
        <v>125</v>
      </c>
      <c r="O115" s="17" t="n">
        <v>2500</v>
      </c>
      <c r="P115" s="18" t="s">
        <v>275</v>
      </c>
    </row>
    <row r="116" customFormat="false" ht="15" hidden="false" customHeight="true" outlineLevel="0" collapsed="false">
      <c r="A116" s="14" t="n">
        <v>115</v>
      </c>
      <c r="B116" s="15" t="s">
        <v>74</v>
      </c>
      <c r="C116" s="16" t="s">
        <v>594</v>
      </c>
      <c r="D116" s="16" t="s">
        <v>610</v>
      </c>
      <c r="E116" s="16" t="s">
        <v>204</v>
      </c>
      <c r="F116" s="16" t="s">
        <v>205</v>
      </c>
      <c r="G116" s="16" t="s">
        <v>611</v>
      </c>
      <c r="H116" s="15" t="s">
        <v>604</v>
      </c>
      <c r="I116" s="15" t="s">
        <v>612</v>
      </c>
      <c r="J116" s="15" t="s">
        <v>174</v>
      </c>
      <c r="K116" s="15" t="s">
        <v>530</v>
      </c>
      <c r="L116" s="15" t="s">
        <v>605</v>
      </c>
      <c r="M116" s="14" t="n">
        <v>130</v>
      </c>
      <c r="N116" s="15" t="s">
        <v>125</v>
      </c>
      <c r="O116" s="14" t="n">
        <v>1800</v>
      </c>
      <c r="P116" s="14"/>
    </row>
    <row r="117" customFormat="false" ht="16.5" hidden="false" customHeight="true" outlineLevel="0" collapsed="false">
      <c r="A117" s="1" t="n">
        <v>116</v>
      </c>
      <c r="B117" s="22" t="s">
        <v>613</v>
      </c>
      <c r="C117" s="22" t="s">
        <v>614</v>
      </c>
      <c r="D117" s="22" t="s">
        <v>615</v>
      </c>
      <c r="E117" s="22" t="s">
        <v>159</v>
      </c>
      <c r="P117" s="22" t="s">
        <v>616</v>
      </c>
      <c r="Q117" s="1" t="n">
        <v>50</v>
      </c>
      <c r="R117" s="1" t="n">
        <v>1.12</v>
      </c>
      <c r="S117" s="1" t="n">
        <v>3.3</v>
      </c>
      <c r="T117" s="1" t="n">
        <v>44.6</v>
      </c>
    </row>
    <row r="118" customFormat="false" ht="16.5" hidden="false" customHeight="true" outlineLevel="0" collapsed="false">
      <c r="A118" s="1" t="n">
        <v>117</v>
      </c>
      <c r="B118" s="22" t="s">
        <v>613</v>
      </c>
      <c r="C118" s="22" t="s">
        <v>614</v>
      </c>
      <c r="D118" s="22" t="s">
        <v>617</v>
      </c>
      <c r="E118" s="22" t="s">
        <v>133</v>
      </c>
      <c r="P118" s="22" t="s">
        <v>618</v>
      </c>
      <c r="Q118" s="1" t="n">
        <v>47</v>
      </c>
      <c r="S118" s="1" t="n">
        <v>3.8</v>
      </c>
    </row>
    <row r="119" customFormat="false" ht="16.5" hidden="false" customHeight="true" outlineLevel="0" collapsed="false">
      <c r="A119" s="1" t="n">
        <v>118</v>
      </c>
      <c r="B119" s="22" t="s">
        <v>613</v>
      </c>
      <c r="C119" s="22" t="s">
        <v>614</v>
      </c>
      <c r="D119" s="22" t="s">
        <v>619</v>
      </c>
      <c r="E119" s="22" t="s">
        <v>620</v>
      </c>
      <c r="P119" s="22" t="s">
        <v>621</v>
      </c>
      <c r="Q119" s="1" t="n">
        <v>25</v>
      </c>
      <c r="R119" s="1" t="n">
        <v>0.27</v>
      </c>
      <c r="S119" s="1" t="n">
        <v>3.7</v>
      </c>
      <c r="T119" s="1" t="n">
        <v>92.6</v>
      </c>
    </row>
    <row r="120" customFormat="false" ht="16.5" hidden="false" customHeight="true" outlineLevel="0" collapsed="false">
      <c r="A120" s="1" t="n">
        <v>119</v>
      </c>
      <c r="B120" s="22" t="s">
        <v>613</v>
      </c>
      <c r="C120" s="22" t="s">
        <v>614</v>
      </c>
      <c r="D120" s="22" t="s">
        <v>622</v>
      </c>
      <c r="E120" s="22" t="s">
        <v>620</v>
      </c>
      <c r="P120" s="22" t="s">
        <v>623</v>
      </c>
      <c r="Q120" s="1" t="n">
        <v>25</v>
      </c>
      <c r="R120" s="1" t="n">
        <v>0.9</v>
      </c>
      <c r="S120" s="1" t="n">
        <v>3.55</v>
      </c>
      <c r="T120" s="1" t="n">
        <v>27.8</v>
      </c>
    </row>
    <row r="121" customFormat="false" ht="16.5" hidden="false" customHeight="true" outlineLevel="0" collapsed="false">
      <c r="A121" s="1" t="n">
        <v>120</v>
      </c>
      <c r="B121" s="22" t="s">
        <v>613</v>
      </c>
      <c r="C121" s="22" t="s">
        <v>614</v>
      </c>
      <c r="D121" s="22" t="s">
        <v>624</v>
      </c>
      <c r="E121" s="22" t="s">
        <v>159</v>
      </c>
      <c r="P121" s="22" t="s">
        <v>625</v>
      </c>
      <c r="Q121" s="1" t="n">
        <v>50</v>
      </c>
      <c r="S121" s="1" t="n">
        <v>3.65</v>
      </c>
    </row>
    <row r="122" customFormat="false" ht="16.5" hidden="false" customHeight="true" outlineLevel="0" collapsed="false">
      <c r="A122" s="1" t="n">
        <v>121</v>
      </c>
      <c r="B122" s="22" t="s">
        <v>613</v>
      </c>
      <c r="C122" s="22" t="s">
        <v>614</v>
      </c>
      <c r="D122" s="22" t="s">
        <v>626</v>
      </c>
      <c r="E122" s="22" t="s">
        <v>620</v>
      </c>
      <c r="P122" s="22" t="s">
        <v>627</v>
      </c>
      <c r="Q122" s="1" t="n">
        <v>35</v>
      </c>
      <c r="R122" s="1" t="n">
        <v>0.32</v>
      </c>
      <c r="S122" s="1" t="n">
        <v>3.65</v>
      </c>
      <c r="T122" s="1" t="n">
        <v>109.4</v>
      </c>
    </row>
    <row r="123" customFormat="false" ht="16.5" hidden="false" customHeight="true" outlineLevel="0" collapsed="false">
      <c r="A123" s="1" t="n">
        <v>122</v>
      </c>
      <c r="B123" s="22" t="s">
        <v>613</v>
      </c>
      <c r="C123" s="22" t="s">
        <v>614</v>
      </c>
      <c r="D123" s="22" t="s">
        <v>628</v>
      </c>
      <c r="E123" s="22" t="s">
        <v>620</v>
      </c>
      <c r="P123" s="22" t="s">
        <v>621</v>
      </c>
      <c r="Q123" s="1" t="n">
        <v>35</v>
      </c>
      <c r="R123" s="1" t="n">
        <v>0.4</v>
      </c>
      <c r="S123" s="1" t="n">
        <v>3.65</v>
      </c>
      <c r="T123" s="1" t="n">
        <v>87.5</v>
      </c>
    </row>
    <row r="124" customFormat="false" ht="16.5" hidden="false" customHeight="true" outlineLevel="0" collapsed="false">
      <c r="A124" s="1" t="n">
        <v>123</v>
      </c>
      <c r="B124" s="22" t="s">
        <v>613</v>
      </c>
      <c r="C124" s="22" t="s">
        <v>614</v>
      </c>
      <c r="D124" s="22" t="s">
        <v>629</v>
      </c>
      <c r="E124" s="22" t="s">
        <v>159</v>
      </c>
      <c r="P124" s="22" t="s">
        <v>630</v>
      </c>
      <c r="Q124" s="1" t="n">
        <v>40</v>
      </c>
      <c r="S124" s="1" t="n">
        <v>3</v>
      </c>
    </row>
    <row r="125" customFormat="false" ht="16.5" hidden="false" customHeight="true" outlineLevel="0" collapsed="false">
      <c r="A125" s="1" t="n">
        <v>124</v>
      </c>
      <c r="B125" s="22" t="s">
        <v>613</v>
      </c>
      <c r="C125" s="22" t="s">
        <v>614</v>
      </c>
      <c r="D125" s="22" t="s">
        <v>631</v>
      </c>
      <c r="E125" s="22" t="s">
        <v>142</v>
      </c>
      <c r="P125" s="22" t="s">
        <v>625</v>
      </c>
      <c r="Q125" s="1" t="n">
        <v>41</v>
      </c>
      <c r="S125" s="1" t="n">
        <v>3.8</v>
      </c>
    </row>
    <row r="126" customFormat="false" ht="16.5" hidden="false" customHeight="true" outlineLevel="0" collapsed="false">
      <c r="A126" s="1" t="n">
        <v>125</v>
      </c>
      <c r="B126" s="22" t="s">
        <v>613</v>
      </c>
      <c r="C126" s="22" t="s">
        <v>614</v>
      </c>
      <c r="D126" s="22" t="s">
        <v>632</v>
      </c>
      <c r="E126" s="22" t="s">
        <v>633</v>
      </c>
      <c r="P126" s="22" t="s">
        <v>634</v>
      </c>
      <c r="Q126" s="1" t="n">
        <v>35</v>
      </c>
      <c r="R126" s="1" t="n">
        <v>0.55</v>
      </c>
      <c r="S126" s="1" t="n">
        <v>3.5</v>
      </c>
      <c r="T126" s="1" t="n">
        <v>63.6</v>
      </c>
    </row>
    <row r="127" customFormat="false" ht="16.5" hidden="false" customHeight="true" outlineLevel="0" collapsed="false">
      <c r="A127" s="1" t="n">
        <v>126</v>
      </c>
      <c r="B127" s="22" t="s">
        <v>613</v>
      </c>
      <c r="C127" s="22" t="s">
        <v>614</v>
      </c>
      <c r="D127" s="22" t="s">
        <v>635</v>
      </c>
      <c r="E127" s="22" t="s">
        <v>361</v>
      </c>
      <c r="P127" s="22" t="s">
        <v>636</v>
      </c>
      <c r="Q127" s="1" t="n">
        <v>45</v>
      </c>
      <c r="S127" s="1" t="n">
        <v>3.7</v>
      </c>
    </row>
    <row r="128" customFormat="false" ht="16.5" hidden="false" customHeight="true" outlineLevel="0" collapsed="false">
      <c r="A128" s="1" t="n">
        <v>127</v>
      </c>
      <c r="B128" s="22" t="s">
        <v>613</v>
      </c>
      <c r="C128" s="22" t="s">
        <v>614</v>
      </c>
      <c r="D128" s="22" t="s">
        <v>637</v>
      </c>
      <c r="E128" s="22" t="s">
        <v>620</v>
      </c>
      <c r="P128" s="22" t="s">
        <v>625</v>
      </c>
      <c r="Q128" s="1" t="n">
        <v>50</v>
      </c>
      <c r="S128" s="1" t="n">
        <v>3.45</v>
      </c>
    </row>
    <row r="129" customFormat="false" ht="16.5" hidden="false" customHeight="true" outlineLevel="0" collapsed="false">
      <c r="A129" s="1" t="n">
        <v>128</v>
      </c>
      <c r="B129" s="22" t="s">
        <v>613</v>
      </c>
      <c r="C129" s="22" t="s">
        <v>614</v>
      </c>
      <c r="D129" s="22" t="s">
        <v>638</v>
      </c>
      <c r="E129" s="22" t="s">
        <v>633</v>
      </c>
      <c r="P129" s="22" t="s">
        <v>634</v>
      </c>
      <c r="Q129" s="1" t="n">
        <v>36.5</v>
      </c>
      <c r="R129" s="1" t="n">
        <v>0.55</v>
      </c>
      <c r="S129" s="1" t="n">
        <v>3.7</v>
      </c>
      <c r="T129" s="1" t="n">
        <v>66.4</v>
      </c>
    </row>
    <row r="130" customFormat="false" ht="16.5" hidden="false" customHeight="true" outlineLevel="0" collapsed="false">
      <c r="A130" s="1" t="n">
        <v>129</v>
      </c>
      <c r="B130" s="22" t="s">
        <v>613</v>
      </c>
      <c r="C130" s="22" t="s">
        <v>614</v>
      </c>
      <c r="D130" s="22" t="s">
        <v>639</v>
      </c>
      <c r="E130" s="22" t="s">
        <v>159</v>
      </c>
      <c r="P130" s="22" t="s">
        <v>640</v>
      </c>
      <c r="Q130" s="1" t="n">
        <v>50</v>
      </c>
      <c r="S130" s="1" t="n">
        <v>4.05</v>
      </c>
    </row>
    <row r="131" customFormat="false" ht="16.5" hidden="false" customHeight="true" outlineLevel="0" collapsed="false">
      <c r="A131" s="1" t="n">
        <v>130</v>
      </c>
      <c r="B131" s="22" t="s">
        <v>613</v>
      </c>
      <c r="C131" s="22" t="s">
        <v>614</v>
      </c>
      <c r="D131" s="22" t="s">
        <v>641</v>
      </c>
      <c r="E131" s="22" t="s">
        <v>361</v>
      </c>
      <c r="P131" s="22" t="s">
        <v>642</v>
      </c>
      <c r="Q131" s="1" t="n">
        <v>40</v>
      </c>
      <c r="S131" s="1" t="n">
        <v>3.85</v>
      </c>
    </row>
    <row r="132" customFormat="false" ht="16.5" hidden="false" customHeight="true" outlineLevel="0" collapsed="false">
      <c r="A132" s="1" t="n">
        <v>131</v>
      </c>
      <c r="B132" s="22" t="s">
        <v>613</v>
      </c>
      <c r="C132" s="22" t="s">
        <v>614</v>
      </c>
      <c r="D132" s="22" t="s">
        <v>643</v>
      </c>
      <c r="E132" s="22" t="s">
        <v>633</v>
      </c>
      <c r="P132" s="22" t="s">
        <v>634</v>
      </c>
      <c r="Q132" s="1" t="n">
        <v>36.5</v>
      </c>
      <c r="R132" s="1" t="n">
        <v>0.55</v>
      </c>
      <c r="S132" s="1" t="n">
        <v>3.7</v>
      </c>
      <c r="T132" s="1" t="n">
        <v>66.4</v>
      </c>
    </row>
    <row r="133" customFormat="false" ht="16.5" hidden="false" customHeight="true" outlineLevel="0" collapsed="false">
      <c r="A133" s="1" t="n">
        <v>132</v>
      </c>
      <c r="B133" s="22" t="s">
        <v>613</v>
      </c>
      <c r="C133" s="22" t="s">
        <v>614</v>
      </c>
      <c r="D133" s="22" t="s">
        <v>644</v>
      </c>
      <c r="E133" s="22" t="s">
        <v>361</v>
      </c>
      <c r="P133" s="22" t="s">
        <v>645</v>
      </c>
      <c r="Q133" s="1" t="n">
        <v>55</v>
      </c>
      <c r="S133" s="1" t="n">
        <v>3.7</v>
      </c>
    </row>
    <row r="134" customFormat="false" ht="16.5" hidden="false" customHeight="true" outlineLevel="0" collapsed="false">
      <c r="A134" s="1" t="n">
        <v>133</v>
      </c>
      <c r="B134" s="22" t="s">
        <v>613</v>
      </c>
      <c r="C134" s="22" t="s">
        <v>614</v>
      </c>
      <c r="D134" s="22" t="s">
        <v>646</v>
      </c>
      <c r="E134" s="22" t="s">
        <v>159</v>
      </c>
      <c r="P134" s="22" t="s">
        <v>647</v>
      </c>
      <c r="Q134" s="1" t="n">
        <v>40</v>
      </c>
      <c r="S134" s="1" t="n">
        <v>3.65</v>
      </c>
    </row>
    <row r="135" customFormat="false" ht="16.5" hidden="false" customHeight="true" outlineLevel="0" collapsed="false">
      <c r="A135" s="1" t="n">
        <v>134</v>
      </c>
      <c r="B135" s="22" t="s">
        <v>613</v>
      </c>
      <c r="C135" s="22" t="s">
        <v>614</v>
      </c>
      <c r="D135" s="22" t="s">
        <v>648</v>
      </c>
      <c r="E135" s="22" t="s">
        <v>159</v>
      </c>
      <c r="P135" s="22" t="s">
        <v>634</v>
      </c>
      <c r="Q135" s="1" t="n">
        <v>45</v>
      </c>
      <c r="R135" s="1" t="n">
        <v>0.98</v>
      </c>
      <c r="S135" s="1" t="n">
        <v>3.45</v>
      </c>
      <c r="T135" s="1" t="n">
        <v>45.9</v>
      </c>
    </row>
    <row r="136" customFormat="false" ht="16.5" hidden="false" customHeight="true" outlineLevel="0" collapsed="false">
      <c r="A136" s="1" t="n">
        <v>135</v>
      </c>
      <c r="B136" s="22" t="s">
        <v>613</v>
      </c>
      <c r="C136" s="22" t="s">
        <v>614</v>
      </c>
      <c r="D136" s="22" t="s">
        <v>649</v>
      </c>
      <c r="E136" s="22" t="s">
        <v>159</v>
      </c>
      <c r="P136" s="22" t="s">
        <v>650</v>
      </c>
      <c r="Q136" s="1" t="n">
        <v>45</v>
      </c>
      <c r="S136" s="1" t="n">
        <v>3.8</v>
      </c>
    </row>
    <row r="137" customFormat="false" ht="16.5" hidden="false" customHeight="true" outlineLevel="0" collapsed="false">
      <c r="A137" s="1" t="n">
        <v>136</v>
      </c>
      <c r="B137" s="22" t="s">
        <v>613</v>
      </c>
      <c r="C137" s="22" t="s">
        <v>614</v>
      </c>
      <c r="D137" s="22" t="s">
        <v>651</v>
      </c>
      <c r="E137" s="22" t="s">
        <v>133</v>
      </c>
      <c r="P137" s="22" t="s">
        <v>652</v>
      </c>
      <c r="Q137" s="1" t="n">
        <v>51</v>
      </c>
      <c r="S137" s="1" t="n">
        <v>3.8</v>
      </c>
    </row>
    <row r="138" customFormat="false" ht="16.5" hidden="false" customHeight="true" outlineLevel="0" collapsed="false">
      <c r="A138" s="1" t="n">
        <v>137</v>
      </c>
      <c r="B138" s="22" t="s">
        <v>613</v>
      </c>
      <c r="C138" s="22" t="s">
        <v>614</v>
      </c>
      <c r="D138" s="22" t="s">
        <v>653</v>
      </c>
      <c r="E138" s="22" t="s">
        <v>159</v>
      </c>
      <c r="P138" s="22" t="s">
        <v>634</v>
      </c>
      <c r="Q138" s="1" t="n">
        <v>55</v>
      </c>
      <c r="S138" s="1" t="n">
        <v>3.65</v>
      </c>
    </row>
    <row r="139" customFormat="false" ht="16.5" hidden="false" customHeight="true" outlineLevel="0" collapsed="false">
      <c r="A139" s="1" t="n">
        <v>138</v>
      </c>
      <c r="B139" s="22" t="s">
        <v>613</v>
      </c>
      <c r="C139" s="22" t="s">
        <v>614</v>
      </c>
      <c r="D139" s="22" t="s">
        <v>654</v>
      </c>
      <c r="E139" s="22" t="s">
        <v>159</v>
      </c>
      <c r="P139" s="22" t="s">
        <v>642</v>
      </c>
      <c r="Q139" s="1" t="n">
        <v>40</v>
      </c>
      <c r="S139" s="1" t="n">
        <v>3.65</v>
      </c>
    </row>
    <row r="140" customFormat="false" ht="16.5" hidden="false" customHeight="true" outlineLevel="0" collapsed="false">
      <c r="A140" s="1" t="n">
        <v>139</v>
      </c>
      <c r="B140" s="22" t="s">
        <v>613</v>
      </c>
      <c r="C140" s="22" t="s">
        <v>614</v>
      </c>
      <c r="D140" s="22" t="s">
        <v>655</v>
      </c>
      <c r="E140" s="22" t="s">
        <v>361</v>
      </c>
      <c r="P140" s="22" t="s">
        <v>656</v>
      </c>
      <c r="Q140" s="1" t="n">
        <v>45</v>
      </c>
      <c r="S140" s="1" t="n">
        <v>3.7</v>
      </c>
    </row>
    <row r="141" customFormat="false" ht="16.5" hidden="false" customHeight="true" outlineLevel="0" collapsed="false">
      <c r="A141" s="1" t="n">
        <v>140</v>
      </c>
      <c r="B141" s="22" t="s">
        <v>613</v>
      </c>
      <c r="C141" s="22" t="s">
        <v>614</v>
      </c>
      <c r="D141" s="22" t="s">
        <v>657</v>
      </c>
      <c r="E141" s="22" t="s">
        <v>159</v>
      </c>
      <c r="P141" s="22" t="s">
        <v>621</v>
      </c>
      <c r="Q141" s="1" t="n">
        <v>40</v>
      </c>
      <c r="S141" s="1" t="n">
        <v>3.65</v>
      </c>
    </row>
    <row r="142" customFormat="false" ht="16.5" hidden="false" customHeight="true" outlineLevel="0" collapsed="false">
      <c r="A142" s="1" t="n">
        <v>141</v>
      </c>
      <c r="B142" s="22" t="s">
        <v>613</v>
      </c>
      <c r="C142" s="22" t="s">
        <v>614</v>
      </c>
      <c r="D142" s="22" t="s">
        <v>658</v>
      </c>
      <c r="E142" s="22" t="s">
        <v>620</v>
      </c>
      <c r="P142" s="22" t="s">
        <v>616</v>
      </c>
      <c r="Q142" s="1" t="n">
        <v>35</v>
      </c>
      <c r="R142" s="1" t="n">
        <v>0.4</v>
      </c>
      <c r="S142" s="1" t="n">
        <v>3.75</v>
      </c>
      <c r="T142" s="1" t="n">
        <v>87.5</v>
      </c>
    </row>
    <row r="143" customFormat="false" ht="16.5" hidden="false" customHeight="true" outlineLevel="0" collapsed="false">
      <c r="A143" s="1" t="n">
        <v>142</v>
      </c>
      <c r="B143" s="22" t="s">
        <v>613</v>
      </c>
      <c r="C143" s="22" t="s">
        <v>614</v>
      </c>
      <c r="D143" s="22" t="s">
        <v>659</v>
      </c>
      <c r="E143" s="22" t="s">
        <v>620</v>
      </c>
      <c r="P143" s="22" t="s">
        <v>660</v>
      </c>
      <c r="Q143" s="1" t="n">
        <v>50</v>
      </c>
      <c r="S143" s="1" t="n">
        <v>3.4</v>
      </c>
    </row>
    <row r="144" customFormat="false" ht="16.5" hidden="false" customHeight="true" outlineLevel="0" collapsed="false">
      <c r="A144" s="1" t="n">
        <v>143</v>
      </c>
      <c r="B144" s="22" t="s">
        <v>613</v>
      </c>
      <c r="C144" s="22" t="s">
        <v>614</v>
      </c>
      <c r="D144" s="22" t="s">
        <v>661</v>
      </c>
      <c r="E144" s="22" t="s">
        <v>662</v>
      </c>
      <c r="P144" s="22" t="s">
        <v>663</v>
      </c>
      <c r="Q144" s="1" t="n">
        <v>50</v>
      </c>
      <c r="R144" s="1" t="n">
        <v>0.4</v>
      </c>
      <c r="S144" s="1" t="n">
        <v>3.5</v>
      </c>
      <c r="T144" s="1" t="n">
        <v>125</v>
      </c>
    </row>
    <row r="145" customFormat="false" ht="16.5" hidden="false" customHeight="true" outlineLevel="0" collapsed="false">
      <c r="A145" s="1" t="n">
        <v>144</v>
      </c>
      <c r="B145" s="22" t="s">
        <v>613</v>
      </c>
      <c r="C145" s="22" t="s">
        <v>614</v>
      </c>
      <c r="D145" s="22" t="s">
        <v>664</v>
      </c>
      <c r="E145" s="22" t="s">
        <v>361</v>
      </c>
      <c r="P145" s="22" t="s">
        <v>665</v>
      </c>
      <c r="Q145" s="1" t="n">
        <v>45</v>
      </c>
      <c r="S145" s="1" t="n">
        <v>3.7</v>
      </c>
    </row>
    <row r="146" customFormat="false" ht="16.5" hidden="false" customHeight="true" outlineLevel="0" collapsed="false">
      <c r="A146" s="1" t="n">
        <v>145</v>
      </c>
      <c r="B146" s="22" t="s">
        <v>613</v>
      </c>
      <c r="C146" s="22" t="s">
        <v>614</v>
      </c>
      <c r="D146" s="22" t="s">
        <v>666</v>
      </c>
      <c r="E146" s="22" t="s">
        <v>361</v>
      </c>
      <c r="P146" s="22" t="s">
        <v>667</v>
      </c>
      <c r="Q146" s="1" t="n">
        <v>40</v>
      </c>
      <c r="S146" s="1" t="n">
        <v>3.7</v>
      </c>
    </row>
    <row r="147" customFormat="false" ht="16.5" hidden="false" customHeight="true" outlineLevel="0" collapsed="false">
      <c r="A147" s="1" t="n">
        <v>146</v>
      </c>
      <c r="B147" s="22" t="s">
        <v>613</v>
      </c>
      <c r="C147" s="22" t="s">
        <v>614</v>
      </c>
      <c r="D147" s="22" t="s">
        <v>668</v>
      </c>
      <c r="E147" s="22" t="s">
        <v>361</v>
      </c>
      <c r="P147" s="22" t="s">
        <v>667</v>
      </c>
      <c r="Q147" s="1" t="n">
        <v>35</v>
      </c>
      <c r="S147" s="1" t="n">
        <v>3.7</v>
      </c>
    </row>
    <row r="148" customFormat="false" ht="16.5" hidden="false" customHeight="true" outlineLevel="0" collapsed="false">
      <c r="A148" s="1" t="n">
        <v>147</v>
      </c>
      <c r="B148" s="22" t="s">
        <v>613</v>
      </c>
      <c r="C148" s="22" t="s">
        <v>614</v>
      </c>
      <c r="D148" s="22" t="s">
        <v>669</v>
      </c>
      <c r="E148" s="22" t="s">
        <v>142</v>
      </c>
      <c r="P148" s="22" t="s">
        <v>621</v>
      </c>
      <c r="Q148" s="1" t="n">
        <v>51</v>
      </c>
      <c r="S148" s="1" t="n">
        <v>3.8</v>
      </c>
    </row>
    <row r="149" customFormat="false" ht="16.5" hidden="false" customHeight="true" outlineLevel="0" collapsed="false">
      <c r="A149" s="1" t="n">
        <v>148</v>
      </c>
      <c r="B149" s="22" t="s">
        <v>613</v>
      </c>
      <c r="C149" s="22" t="s">
        <v>614</v>
      </c>
      <c r="D149" s="22" t="s">
        <v>670</v>
      </c>
      <c r="E149" s="22" t="s">
        <v>159</v>
      </c>
      <c r="Q149" s="1" t="n">
        <v>32</v>
      </c>
      <c r="R149" s="1" t="n">
        <v>0.67</v>
      </c>
      <c r="S149" s="1" t="n">
        <v>3.5</v>
      </c>
      <c r="T149" s="1" t="n">
        <v>47.8</v>
      </c>
    </row>
    <row r="150" customFormat="false" ht="16.5" hidden="false" customHeight="true" outlineLevel="0" collapsed="false">
      <c r="A150" s="1" t="n">
        <v>149</v>
      </c>
      <c r="B150" s="22" t="s">
        <v>613</v>
      </c>
      <c r="C150" s="22" t="s">
        <v>614</v>
      </c>
      <c r="D150" s="22" t="s">
        <v>671</v>
      </c>
      <c r="E150" s="22" t="s">
        <v>128</v>
      </c>
      <c r="P150" s="22" t="s">
        <v>665</v>
      </c>
      <c r="Q150" s="1" t="n">
        <v>40</v>
      </c>
      <c r="S150" s="1" t="n">
        <v>3.7</v>
      </c>
    </row>
    <row r="151" customFormat="false" ht="16.5" hidden="false" customHeight="true" outlineLevel="0" collapsed="false">
      <c r="A151" s="1" t="n">
        <v>150</v>
      </c>
      <c r="B151" s="22" t="s">
        <v>613</v>
      </c>
      <c r="C151" s="22" t="s">
        <v>614</v>
      </c>
      <c r="D151" s="22" t="s">
        <v>672</v>
      </c>
      <c r="E151" s="22" t="s">
        <v>159</v>
      </c>
      <c r="P151" s="22" t="s">
        <v>630</v>
      </c>
      <c r="Q151" s="1" t="n">
        <v>40</v>
      </c>
      <c r="S151" s="1" t="n">
        <v>3.6</v>
      </c>
    </row>
    <row r="152" customFormat="false" ht="16.5" hidden="false" customHeight="true" outlineLevel="0" collapsed="false">
      <c r="A152" s="1" t="n">
        <v>151</v>
      </c>
      <c r="B152" s="22" t="s">
        <v>613</v>
      </c>
      <c r="C152" s="22" t="s">
        <v>614</v>
      </c>
      <c r="D152" s="22" t="s">
        <v>673</v>
      </c>
      <c r="E152" s="22" t="s">
        <v>142</v>
      </c>
      <c r="P152" s="22" t="s">
        <v>625</v>
      </c>
      <c r="Q152" s="1" t="n">
        <v>40.5</v>
      </c>
      <c r="S152" s="1" t="n">
        <v>3.8</v>
      </c>
    </row>
    <row r="153" customFormat="false" ht="16.5" hidden="false" customHeight="true" outlineLevel="0" collapsed="false">
      <c r="A153" s="1" t="n">
        <v>152</v>
      </c>
      <c r="B153" s="22" t="s">
        <v>613</v>
      </c>
      <c r="C153" s="22" t="s">
        <v>614</v>
      </c>
      <c r="D153" s="22" t="s">
        <v>674</v>
      </c>
      <c r="E153" s="22" t="s">
        <v>620</v>
      </c>
      <c r="P153" s="22" t="s">
        <v>675</v>
      </c>
      <c r="Q153" s="1" t="n">
        <v>30</v>
      </c>
      <c r="S153" s="1" t="n">
        <v>3.7</v>
      </c>
    </row>
    <row r="154" customFormat="false" ht="16.5" hidden="false" customHeight="true" outlineLevel="0" collapsed="false">
      <c r="A154" s="1" t="n">
        <v>153</v>
      </c>
      <c r="B154" s="22" t="s">
        <v>613</v>
      </c>
      <c r="C154" s="22" t="s">
        <v>614</v>
      </c>
      <c r="D154" s="22" t="s">
        <v>676</v>
      </c>
      <c r="E154" s="22" t="s">
        <v>159</v>
      </c>
      <c r="P154" s="22" t="s">
        <v>677</v>
      </c>
      <c r="Q154" s="1" t="n">
        <v>38.5</v>
      </c>
      <c r="S154" s="1" t="n">
        <v>3.3</v>
      </c>
    </row>
    <row r="155" customFormat="false" ht="16.5" hidden="false" customHeight="true" outlineLevel="0" collapsed="false">
      <c r="A155" s="1" t="n">
        <v>154</v>
      </c>
      <c r="B155" s="22" t="s">
        <v>613</v>
      </c>
      <c r="C155" s="22" t="s">
        <v>614</v>
      </c>
      <c r="D155" s="22" t="s">
        <v>678</v>
      </c>
      <c r="E155" s="22" t="s">
        <v>159</v>
      </c>
      <c r="P155" s="22" t="s">
        <v>640</v>
      </c>
      <c r="Q155" s="1" t="n">
        <v>50</v>
      </c>
      <c r="S155" s="1" t="n">
        <v>3.8</v>
      </c>
    </row>
    <row r="156" customFormat="false" ht="16.5" hidden="false" customHeight="true" outlineLevel="0" collapsed="false">
      <c r="A156" s="1" t="n">
        <v>155</v>
      </c>
      <c r="B156" s="22" t="s">
        <v>613</v>
      </c>
      <c r="C156" s="22" t="s">
        <v>614</v>
      </c>
      <c r="D156" s="22" t="s">
        <v>679</v>
      </c>
      <c r="E156" s="22" t="s">
        <v>620</v>
      </c>
      <c r="P156" s="22" t="s">
        <v>680</v>
      </c>
      <c r="Q156" s="1" t="n">
        <v>35</v>
      </c>
      <c r="R156" s="1" t="n">
        <v>0.25</v>
      </c>
      <c r="S156" s="1" t="n">
        <v>4</v>
      </c>
      <c r="T156" s="1" t="n">
        <v>140</v>
      </c>
    </row>
    <row r="157" customFormat="false" ht="16.5" hidden="false" customHeight="true" outlineLevel="0" collapsed="false">
      <c r="A157" s="1" t="n">
        <v>156</v>
      </c>
      <c r="B157" s="22" t="s">
        <v>613</v>
      </c>
      <c r="C157" s="22" t="s">
        <v>614</v>
      </c>
      <c r="D157" s="22" t="s">
        <v>681</v>
      </c>
      <c r="E157" s="22" t="s">
        <v>159</v>
      </c>
      <c r="P157" s="22" t="s">
        <v>616</v>
      </c>
      <c r="Q157" s="1" t="n">
        <v>40</v>
      </c>
      <c r="S157" s="1" t="n">
        <v>3.6</v>
      </c>
    </row>
    <row r="158" customFormat="false" ht="16.5" hidden="false" customHeight="true" outlineLevel="0" collapsed="false">
      <c r="A158" s="1" t="n">
        <v>157</v>
      </c>
      <c r="B158" s="22" t="s">
        <v>613</v>
      </c>
      <c r="C158" s="22" t="s">
        <v>614</v>
      </c>
      <c r="D158" s="22" t="s">
        <v>682</v>
      </c>
      <c r="E158" s="22" t="s">
        <v>159</v>
      </c>
      <c r="P158" s="22" t="s">
        <v>616</v>
      </c>
      <c r="Q158" s="1" t="n">
        <v>40</v>
      </c>
      <c r="S158" s="1" t="n">
        <v>3.65</v>
      </c>
    </row>
    <row r="159" customFormat="false" ht="16.5" hidden="false" customHeight="true" outlineLevel="0" collapsed="false">
      <c r="A159" s="1" t="n">
        <v>158</v>
      </c>
      <c r="B159" s="22" t="s">
        <v>613</v>
      </c>
      <c r="C159" s="22" t="s">
        <v>614</v>
      </c>
      <c r="D159" s="22" t="s">
        <v>683</v>
      </c>
      <c r="E159" s="22" t="s">
        <v>361</v>
      </c>
      <c r="P159" s="22" t="s">
        <v>616</v>
      </c>
      <c r="Q159" s="1" t="n">
        <v>45</v>
      </c>
      <c r="S159" s="1" t="n">
        <v>3.9</v>
      </c>
    </row>
    <row r="160" customFormat="false" ht="16.5" hidden="false" customHeight="true" outlineLevel="0" collapsed="false">
      <c r="A160" s="1" t="n">
        <v>159</v>
      </c>
      <c r="B160" s="22" t="s">
        <v>613</v>
      </c>
      <c r="C160" s="22" t="s">
        <v>614</v>
      </c>
      <c r="D160" s="22" t="s">
        <v>684</v>
      </c>
      <c r="E160" s="22" t="s">
        <v>633</v>
      </c>
      <c r="P160" s="22" t="s">
        <v>685</v>
      </c>
      <c r="Q160" s="1" t="n">
        <v>35</v>
      </c>
      <c r="S160" s="1" t="n">
        <v>3.7</v>
      </c>
    </row>
    <row r="161" customFormat="false" ht="16.5" hidden="false" customHeight="true" outlineLevel="0" collapsed="false">
      <c r="A161" s="1" t="n">
        <v>160</v>
      </c>
      <c r="B161" s="22" t="s">
        <v>613</v>
      </c>
      <c r="C161" s="22" t="s">
        <v>614</v>
      </c>
      <c r="D161" s="22" t="s">
        <v>686</v>
      </c>
      <c r="E161" s="22" t="s">
        <v>133</v>
      </c>
      <c r="P161" s="22" t="s">
        <v>687</v>
      </c>
      <c r="Q161" s="1" t="n">
        <v>55</v>
      </c>
      <c r="S161" s="1" t="n">
        <v>3.8</v>
      </c>
    </row>
    <row r="162" customFormat="false" ht="16.5" hidden="false" customHeight="true" outlineLevel="0" collapsed="false">
      <c r="A162" s="1" t="n">
        <v>161</v>
      </c>
      <c r="B162" s="22" t="s">
        <v>613</v>
      </c>
      <c r="C162" s="22" t="s">
        <v>614</v>
      </c>
      <c r="D162" s="22" t="s">
        <v>688</v>
      </c>
      <c r="E162" s="22" t="s">
        <v>361</v>
      </c>
      <c r="P162" s="22" t="s">
        <v>616</v>
      </c>
      <c r="Q162" s="1" t="n">
        <v>40</v>
      </c>
      <c r="S162" s="1" t="n">
        <v>4.35</v>
      </c>
    </row>
    <row r="163" customFormat="false" ht="16.5" hidden="false" customHeight="true" outlineLevel="0" collapsed="false">
      <c r="A163" s="1" t="n">
        <v>162</v>
      </c>
      <c r="B163" s="22" t="s">
        <v>613</v>
      </c>
      <c r="C163" s="22" t="s">
        <v>614</v>
      </c>
      <c r="D163" s="22" t="s">
        <v>689</v>
      </c>
      <c r="E163" s="22" t="s">
        <v>633</v>
      </c>
      <c r="P163" s="22" t="s">
        <v>690</v>
      </c>
      <c r="Q163" s="1" t="n">
        <v>40</v>
      </c>
      <c r="R163" s="1" t="n">
        <v>0.65</v>
      </c>
      <c r="S163" s="1" t="n">
        <v>3.7</v>
      </c>
      <c r="T163" s="1" t="n">
        <v>61.5</v>
      </c>
    </row>
    <row r="164" customFormat="false" ht="16.5" hidden="false" customHeight="true" outlineLevel="0" collapsed="false">
      <c r="A164" s="1" t="n">
        <v>163</v>
      </c>
      <c r="B164" s="22" t="s">
        <v>613</v>
      </c>
      <c r="C164" s="22" t="s">
        <v>614</v>
      </c>
      <c r="D164" s="22" t="s">
        <v>691</v>
      </c>
      <c r="E164" s="22" t="s">
        <v>159</v>
      </c>
      <c r="P164" s="22" t="s">
        <v>685</v>
      </c>
      <c r="Q164" s="1" t="n">
        <v>40</v>
      </c>
      <c r="S164" s="1" t="n">
        <v>3.65</v>
      </c>
    </row>
    <row r="165" customFormat="false" ht="16.5" hidden="false" customHeight="true" outlineLevel="0" collapsed="false">
      <c r="A165" s="1" t="n">
        <v>164</v>
      </c>
      <c r="B165" s="22" t="s">
        <v>613</v>
      </c>
      <c r="C165" s="22" t="s">
        <v>614</v>
      </c>
      <c r="D165" s="22" t="s">
        <v>692</v>
      </c>
      <c r="E165" s="22" t="s">
        <v>142</v>
      </c>
      <c r="P165" s="22" t="s">
        <v>616</v>
      </c>
      <c r="Q165" s="1" t="n">
        <v>37.5</v>
      </c>
      <c r="S165" s="1" t="n">
        <v>3.8</v>
      </c>
    </row>
    <row r="166" customFormat="false" ht="16.5" hidden="false" customHeight="true" outlineLevel="0" collapsed="false">
      <c r="A166" s="1" t="n">
        <v>165</v>
      </c>
      <c r="B166" s="22" t="s">
        <v>613</v>
      </c>
      <c r="C166" s="22" t="s">
        <v>614</v>
      </c>
      <c r="D166" s="22" t="s">
        <v>693</v>
      </c>
      <c r="E166" s="22" t="s">
        <v>361</v>
      </c>
      <c r="P166" s="22" t="s">
        <v>630</v>
      </c>
      <c r="Q166" s="1" t="n">
        <v>57</v>
      </c>
      <c r="R166" s="1" t="n">
        <v>0.17</v>
      </c>
      <c r="S166" s="1" t="n">
        <v>3.7</v>
      </c>
      <c r="T166" s="1" t="n">
        <v>335.3</v>
      </c>
    </row>
    <row r="167" customFormat="false" ht="16.5" hidden="false" customHeight="true" outlineLevel="0" collapsed="false">
      <c r="A167" s="1" t="n">
        <v>166</v>
      </c>
      <c r="B167" s="22" t="s">
        <v>613</v>
      </c>
      <c r="C167" s="22" t="s">
        <v>614</v>
      </c>
      <c r="D167" s="22" t="s">
        <v>694</v>
      </c>
      <c r="E167" s="22" t="s">
        <v>361</v>
      </c>
      <c r="P167" s="22" t="s">
        <v>695</v>
      </c>
      <c r="Q167" s="1" t="n">
        <v>30</v>
      </c>
      <c r="S167" s="1" t="n">
        <v>3.7</v>
      </c>
    </row>
    <row r="168" customFormat="false" ht="16.5" hidden="false" customHeight="true" outlineLevel="0" collapsed="false">
      <c r="A168" s="1" t="n">
        <v>167</v>
      </c>
      <c r="B168" s="22" t="s">
        <v>613</v>
      </c>
      <c r="C168" s="22" t="s">
        <v>614</v>
      </c>
      <c r="D168" s="22" t="s">
        <v>696</v>
      </c>
      <c r="E168" s="22" t="s">
        <v>159</v>
      </c>
      <c r="P168" s="22" t="s">
        <v>630</v>
      </c>
      <c r="Q168" s="1" t="n">
        <v>40</v>
      </c>
      <c r="S168" s="1" t="n">
        <v>3.2</v>
      </c>
    </row>
    <row r="169" customFormat="false" ht="16.5" hidden="false" customHeight="true" outlineLevel="0" collapsed="false">
      <c r="A169" s="1" t="n">
        <v>168</v>
      </c>
      <c r="B169" s="22" t="s">
        <v>613</v>
      </c>
      <c r="C169" s="22" t="s">
        <v>614</v>
      </c>
      <c r="D169" s="22" t="s">
        <v>697</v>
      </c>
      <c r="E169" s="22" t="s">
        <v>159</v>
      </c>
      <c r="P169" s="22" t="s">
        <v>630</v>
      </c>
      <c r="Q169" s="1" t="n">
        <v>40</v>
      </c>
      <c r="S169" s="1" t="n">
        <v>3.8</v>
      </c>
    </row>
    <row r="170" customFormat="false" ht="16.5" hidden="false" customHeight="true" outlineLevel="0" collapsed="false">
      <c r="A170" s="1" t="n">
        <v>169</v>
      </c>
      <c r="B170" s="22" t="s">
        <v>613</v>
      </c>
      <c r="C170" s="22" t="s">
        <v>614</v>
      </c>
      <c r="D170" s="22" t="s">
        <v>698</v>
      </c>
      <c r="E170" s="22" t="s">
        <v>128</v>
      </c>
      <c r="P170" s="22" t="s">
        <v>699</v>
      </c>
      <c r="Q170" s="1" t="n">
        <v>28</v>
      </c>
      <c r="R170" s="1" t="n">
        <v>0.55</v>
      </c>
      <c r="S170" s="1" t="n">
        <v>3.75</v>
      </c>
      <c r="T170" s="1" t="n">
        <v>50.9</v>
      </c>
    </row>
    <row r="171" customFormat="false" ht="16.5" hidden="false" customHeight="true" outlineLevel="0" collapsed="false">
      <c r="A171" s="1" t="n">
        <v>170</v>
      </c>
      <c r="B171" s="22" t="s">
        <v>613</v>
      </c>
      <c r="C171" s="22" t="s">
        <v>614</v>
      </c>
      <c r="D171" s="22" t="s">
        <v>700</v>
      </c>
      <c r="E171" s="22" t="s">
        <v>159</v>
      </c>
      <c r="P171" s="22" t="s">
        <v>630</v>
      </c>
      <c r="Q171" s="1" t="n">
        <v>40</v>
      </c>
      <c r="S171" s="1" t="n">
        <v>3.6</v>
      </c>
    </row>
    <row r="172" customFormat="false" ht="16.5" hidden="false" customHeight="true" outlineLevel="0" collapsed="false">
      <c r="A172" s="1" t="n">
        <v>171</v>
      </c>
      <c r="B172" s="22" t="s">
        <v>613</v>
      </c>
      <c r="C172" s="22" t="s">
        <v>614</v>
      </c>
      <c r="D172" s="22" t="s">
        <v>698</v>
      </c>
      <c r="E172" s="22" t="s">
        <v>128</v>
      </c>
      <c r="P172" s="22" t="s">
        <v>701</v>
      </c>
      <c r="Q172" s="1" t="n">
        <v>40</v>
      </c>
      <c r="R172" s="1" t="n">
        <v>0.65</v>
      </c>
      <c r="S172" s="1" t="n">
        <v>3.7</v>
      </c>
      <c r="T172" s="1" t="n">
        <v>61.5</v>
      </c>
    </row>
    <row r="173" customFormat="false" ht="16.5" hidden="false" customHeight="true" outlineLevel="0" collapsed="false">
      <c r="A173" s="1" t="n">
        <v>172</v>
      </c>
      <c r="B173" s="22" t="s">
        <v>613</v>
      </c>
      <c r="C173" s="22" t="s">
        <v>614</v>
      </c>
      <c r="D173" s="22" t="s">
        <v>702</v>
      </c>
      <c r="E173" s="22" t="s">
        <v>159</v>
      </c>
      <c r="P173" s="22" t="s">
        <v>630</v>
      </c>
      <c r="Q173" s="1" t="n">
        <v>40</v>
      </c>
      <c r="S173" s="1" t="n">
        <v>3.6</v>
      </c>
    </row>
    <row r="174" customFormat="false" ht="16.5" hidden="false" customHeight="true" outlineLevel="0" collapsed="false">
      <c r="A174" s="1" t="n">
        <v>173</v>
      </c>
      <c r="B174" s="22" t="s">
        <v>613</v>
      </c>
      <c r="C174" s="22" t="s">
        <v>614</v>
      </c>
      <c r="D174" s="22" t="s">
        <v>703</v>
      </c>
      <c r="E174" s="22" t="s">
        <v>128</v>
      </c>
      <c r="P174" s="22" t="s">
        <v>704</v>
      </c>
      <c r="Q174" s="1" t="n">
        <v>28</v>
      </c>
      <c r="R174" s="1" t="n">
        <v>0.55</v>
      </c>
      <c r="S174" s="1" t="n">
        <v>3.6</v>
      </c>
      <c r="T174" s="1" t="n">
        <v>50.9</v>
      </c>
    </row>
    <row r="175" customFormat="false" ht="16.5" hidden="false" customHeight="true" outlineLevel="0" collapsed="false">
      <c r="A175" s="1" t="n">
        <v>174</v>
      </c>
      <c r="B175" s="22" t="s">
        <v>613</v>
      </c>
      <c r="C175" s="22" t="s">
        <v>614</v>
      </c>
      <c r="D175" s="22" t="s">
        <v>705</v>
      </c>
      <c r="E175" s="22" t="s">
        <v>620</v>
      </c>
      <c r="P175" s="22" t="s">
        <v>699</v>
      </c>
      <c r="Q175" s="1" t="n">
        <v>37</v>
      </c>
      <c r="S175" s="1" t="n">
        <v>4.2</v>
      </c>
    </row>
    <row r="176" customFormat="false" ht="16.5" hidden="false" customHeight="true" outlineLevel="0" collapsed="false">
      <c r="A176" s="1" t="n">
        <v>175</v>
      </c>
      <c r="B176" s="22" t="s">
        <v>613</v>
      </c>
      <c r="C176" s="22" t="s">
        <v>614</v>
      </c>
      <c r="D176" s="22" t="s">
        <v>703</v>
      </c>
      <c r="E176" s="22" t="s">
        <v>128</v>
      </c>
      <c r="P176" s="22" t="s">
        <v>706</v>
      </c>
      <c r="Q176" s="1" t="n">
        <v>40</v>
      </c>
      <c r="R176" s="1" t="n">
        <v>0.65</v>
      </c>
      <c r="S176" s="1" t="n">
        <v>3.6</v>
      </c>
      <c r="T176" s="1" t="n">
        <v>61.5</v>
      </c>
    </row>
    <row r="177" customFormat="false" ht="16.5" hidden="false" customHeight="true" outlineLevel="0" collapsed="false">
      <c r="A177" s="1" t="n">
        <v>176</v>
      </c>
      <c r="B177" s="22" t="s">
        <v>613</v>
      </c>
      <c r="C177" s="22" t="s">
        <v>614</v>
      </c>
      <c r="D177" s="22" t="s">
        <v>707</v>
      </c>
      <c r="E177" s="22" t="s">
        <v>159</v>
      </c>
      <c r="P177" s="22" t="s">
        <v>634</v>
      </c>
      <c r="Q177" s="1" t="n">
        <v>60</v>
      </c>
      <c r="S177" s="1" t="n">
        <v>3.85</v>
      </c>
    </row>
    <row r="178" customFormat="false" ht="16.5" hidden="false" customHeight="true" outlineLevel="0" collapsed="false">
      <c r="A178" s="1" t="n">
        <v>177</v>
      </c>
      <c r="B178" s="22" t="s">
        <v>613</v>
      </c>
      <c r="C178" s="22" t="s">
        <v>614</v>
      </c>
      <c r="D178" s="22" t="s">
        <v>708</v>
      </c>
      <c r="E178" s="22" t="s">
        <v>633</v>
      </c>
      <c r="P178" s="22" t="s">
        <v>709</v>
      </c>
      <c r="Q178" s="1" t="n">
        <v>74</v>
      </c>
      <c r="S178" s="1" t="n">
        <v>5.05</v>
      </c>
    </row>
    <row r="179" customFormat="false" ht="16.5" hidden="false" customHeight="true" outlineLevel="0" collapsed="false">
      <c r="A179" s="1" t="n">
        <v>178</v>
      </c>
      <c r="B179" s="22" t="s">
        <v>613</v>
      </c>
      <c r="C179" s="22" t="s">
        <v>614</v>
      </c>
      <c r="D179" s="22" t="s">
        <v>710</v>
      </c>
      <c r="E179" s="22" t="s">
        <v>361</v>
      </c>
      <c r="P179" s="22" t="s">
        <v>711</v>
      </c>
      <c r="Q179" s="1" t="n">
        <v>35</v>
      </c>
      <c r="R179" s="1" t="n">
        <v>0.77</v>
      </c>
      <c r="S179" s="1" t="n">
        <v>3.7</v>
      </c>
      <c r="T179" s="1" t="n">
        <v>45.5</v>
      </c>
    </row>
    <row r="180" customFormat="false" ht="16.5" hidden="false" customHeight="true" outlineLevel="0" collapsed="false">
      <c r="A180" s="1" t="n">
        <v>179</v>
      </c>
      <c r="B180" s="22" t="s">
        <v>613</v>
      </c>
      <c r="C180" s="22" t="s">
        <v>614</v>
      </c>
      <c r="D180" s="22" t="s">
        <v>712</v>
      </c>
      <c r="E180" s="22" t="s">
        <v>620</v>
      </c>
      <c r="P180" s="22" t="s">
        <v>713</v>
      </c>
      <c r="Q180" s="1" t="n">
        <v>30</v>
      </c>
      <c r="R180" s="1" t="n">
        <v>0.5</v>
      </c>
      <c r="S180" s="1" t="n">
        <v>3.8</v>
      </c>
      <c r="T180" s="1" t="n">
        <v>60</v>
      </c>
    </row>
    <row r="181" customFormat="false" ht="16.5" hidden="false" customHeight="true" outlineLevel="0" collapsed="false">
      <c r="A181" s="1" t="n">
        <v>180</v>
      </c>
      <c r="B181" s="22" t="s">
        <v>613</v>
      </c>
      <c r="C181" s="22" t="s">
        <v>614</v>
      </c>
      <c r="D181" s="22" t="s">
        <v>714</v>
      </c>
      <c r="E181" s="22" t="s">
        <v>620</v>
      </c>
      <c r="P181" s="22" t="s">
        <v>630</v>
      </c>
      <c r="Q181" s="1" t="n">
        <v>55</v>
      </c>
      <c r="R181" s="1" t="n">
        <v>1.35</v>
      </c>
      <c r="S181" s="1" t="n">
        <v>2.4</v>
      </c>
      <c r="T181" s="1" t="n">
        <v>40.7</v>
      </c>
    </row>
    <row r="182" customFormat="false" ht="16.5" hidden="false" customHeight="true" outlineLevel="0" collapsed="false">
      <c r="A182" s="1" t="n">
        <v>181</v>
      </c>
      <c r="B182" s="22" t="s">
        <v>613</v>
      </c>
      <c r="C182" s="22" t="s">
        <v>614</v>
      </c>
      <c r="D182" s="22" t="s">
        <v>715</v>
      </c>
      <c r="E182" s="22" t="s">
        <v>159</v>
      </c>
      <c r="P182" s="22" t="s">
        <v>634</v>
      </c>
      <c r="Q182" s="1" t="n">
        <v>35</v>
      </c>
      <c r="R182" s="1" t="n">
        <v>0.77</v>
      </c>
      <c r="S182" s="1" t="n">
        <v>3.65</v>
      </c>
      <c r="T182" s="1" t="n">
        <v>45.5</v>
      </c>
    </row>
    <row r="183" customFormat="false" ht="16.5" hidden="false" customHeight="true" outlineLevel="0" collapsed="false">
      <c r="A183" s="1" t="n">
        <v>182</v>
      </c>
      <c r="B183" s="22" t="s">
        <v>613</v>
      </c>
      <c r="C183" s="22" t="s">
        <v>614</v>
      </c>
      <c r="D183" s="22" t="s">
        <v>716</v>
      </c>
      <c r="E183" s="22" t="s">
        <v>159</v>
      </c>
      <c r="P183" s="22" t="s">
        <v>717</v>
      </c>
      <c r="Q183" s="1" t="n">
        <v>30</v>
      </c>
      <c r="R183" s="1" t="n">
        <v>1.55</v>
      </c>
      <c r="S183" s="1" t="n">
        <v>3.7</v>
      </c>
      <c r="T183" s="1" t="n">
        <v>19.4</v>
      </c>
    </row>
    <row r="184" customFormat="false" ht="16.5" hidden="false" customHeight="true" outlineLevel="0" collapsed="false">
      <c r="A184" s="1" t="n">
        <v>183</v>
      </c>
      <c r="B184" s="22" t="s">
        <v>613</v>
      </c>
      <c r="C184" s="22" t="s">
        <v>614</v>
      </c>
      <c r="D184" s="22" t="s">
        <v>718</v>
      </c>
      <c r="E184" s="22" t="s">
        <v>133</v>
      </c>
      <c r="P184" s="22" t="s">
        <v>667</v>
      </c>
      <c r="Q184" s="1" t="n">
        <v>53</v>
      </c>
      <c r="S184" s="1" t="n">
        <v>3.8</v>
      </c>
    </row>
    <row r="185" customFormat="false" ht="16.5" hidden="false" customHeight="true" outlineLevel="0" collapsed="false">
      <c r="A185" s="1" t="n">
        <v>184</v>
      </c>
      <c r="B185" s="22" t="s">
        <v>613</v>
      </c>
      <c r="C185" s="22" t="s">
        <v>614</v>
      </c>
      <c r="D185" s="22" t="s">
        <v>719</v>
      </c>
      <c r="E185" s="22" t="s">
        <v>159</v>
      </c>
      <c r="P185" s="22" t="s">
        <v>663</v>
      </c>
      <c r="Q185" s="1" t="n">
        <v>40</v>
      </c>
      <c r="S185" s="1" t="n">
        <v>3.8</v>
      </c>
    </row>
    <row r="186" customFormat="false" ht="16.5" hidden="false" customHeight="true" outlineLevel="0" collapsed="false">
      <c r="A186" s="1" t="n">
        <v>185</v>
      </c>
      <c r="B186" s="22" t="s">
        <v>613</v>
      </c>
      <c r="C186" s="22" t="s">
        <v>614</v>
      </c>
      <c r="D186" s="22" t="s">
        <v>720</v>
      </c>
      <c r="E186" s="22" t="s">
        <v>159</v>
      </c>
      <c r="P186" s="22" t="s">
        <v>616</v>
      </c>
      <c r="Q186" s="1" t="n">
        <v>40</v>
      </c>
      <c r="S186" s="1" t="n">
        <v>3.65</v>
      </c>
    </row>
    <row r="187" customFormat="false" ht="16.5" hidden="false" customHeight="true" outlineLevel="0" collapsed="false">
      <c r="A187" s="1" t="n">
        <v>186</v>
      </c>
      <c r="B187" s="22" t="s">
        <v>613</v>
      </c>
      <c r="C187" s="22" t="s">
        <v>614</v>
      </c>
      <c r="D187" s="22" t="s">
        <v>721</v>
      </c>
      <c r="E187" s="22" t="s">
        <v>361</v>
      </c>
      <c r="P187" s="22" t="s">
        <v>685</v>
      </c>
      <c r="Q187" s="1" t="n">
        <v>35</v>
      </c>
      <c r="S187" s="1" t="n">
        <v>3.55</v>
      </c>
    </row>
    <row r="188" customFormat="false" ht="16.5" hidden="false" customHeight="true" outlineLevel="0" collapsed="false">
      <c r="A188" s="1" t="n">
        <v>187</v>
      </c>
      <c r="B188" s="22" t="s">
        <v>613</v>
      </c>
      <c r="C188" s="22" t="s">
        <v>614</v>
      </c>
      <c r="D188" s="22" t="s">
        <v>722</v>
      </c>
      <c r="E188" s="22" t="s">
        <v>142</v>
      </c>
      <c r="P188" s="22" t="s">
        <v>616</v>
      </c>
      <c r="Q188" s="1" t="n">
        <v>40.6</v>
      </c>
      <c r="S188" s="1" t="n">
        <v>3.8</v>
      </c>
    </row>
    <row r="189" customFormat="false" ht="16.5" hidden="false" customHeight="true" outlineLevel="0" collapsed="false">
      <c r="A189" s="1" t="n">
        <v>188</v>
      </c>
      <c r="B189" s="22" t="s">
        <v>613</v>
      </c>
      <c r="C189" s="22" t="s">
        <v>614</v>
      </c>
      <c r="D189" s="22" t="s">
        <v>723</v>
      </c>
      <c r="E189" s="22" t="s">
        <v>142</v>
      </c>
      <c r="P189" s="22" t="s">
        <v>616</v>
      </c>
      <c r="Q189" s="1" t="n">
        <v>40.6</v>
      </c>
      <c r="S189" s="1" t="n">
        <v>3.8</v>
      </c>
    </row>
    <row r="190" customFormat="false" ht="16.5" hidden="false" customHeight="true" outlineLevel="0" collapsed="false">
      <c r="A190" s="1" t="n">
        <v>189</v>
      </c>
      <c r="B190" s="22" t="s">
        <v>613</v>
      </c>
      <c r="C190" s="22" t="s">
        <v>614</v>
      </c>
      <c r="D190" s="22" t="s">
        <v>724</v>
      </c>
      <c r="E190" s="22" t="s">
        <v>142</v>
      </c>
      <c r="P190" s="22" t="s">
        <v>625</v>
      </c>
      <c r="Q190" s="1" t="n">
        <v>48.1</v>
      </c>
      <c r="S190" s="1" t="n">
        <v>3.8</v>
      </c>
    </row>
    <row r="191" customFormat="false" ht="16.5" hidden="false" customHeight="true" outlineLevel="0" collapsed="false">
      <c r="A191" s="1" t="n">
        <v>190</v>
      </c>
      <c r="B191" s="22" t="s">
        <v>613</v>
      </c>
      <c r="C191" s="22" t="s">
        <v>614</v>
      </c>
      <c r="D191" s="22" t="s">
        <v>725</v>
      </c>
      <c r="E191" s="22" t="s">
        <v>159</v>
      </c>
      <c r="P191" s="22" t="s">
        <v>677</v>
      </c>
      <c r="Q191" s="1" t="n">
        <v>37</v>
      </c>
      <c r="S191" s="1" t="n">
        <v>3.8</v>
      </c>
    </row>
    <row r="192" customFormat="false" ht="16.5" hidden="false" customHeight="true" outlineLevel="0" collapsed="false">
      <c r="A192" s="1" t="n">
        <v>191</v>
      </c>
      <c r="B192" s="22" t="s">
        <v>613</v>
      </c>
      <c r="C192" s="22" t="s">
        <v>614</v>
      </c>
      <c r="D192" s="22" t="s">
        <v>726</v>
      </c>
      <c r="E192" s="22" t="s">
        <v>727</v>
      </c>
      <c r="P192" s="22" t="s">
        <v>728</v>
      </c>
      <c r="Q192" s="1" t="n">
        <v>50</v>
      </c>
      <c r="S192" s="1" t="n">
        <v>3.75</v>
      </c>
    </row>
    <row r="193" customFormat="false" ht="16.5" hidden="false" customHeight="true" outlineLevel="0" collapsed="false">
      <c r="A193" s="1" t="n">
        <v>192</v>
      </c>
      <c r="B193" s="22" t="s">
        <v>613</v>
      </c>
      <c r="C193" s="22" t="s">
        <v>729</v>
      </c>
      <c r="D193" s="22" t="s">
        <v>730</v>
      </c>
      <c r="E193" s="22" t="s">
        <v>403</v>
      </c>
      <c r="Q193" s="1" t="n">
        <v>58</v>
      </c>
      <c r="R193" s="1" t="n">
        <v>0.65</v>
      </c>
      <c r="S193" s="1" t="n">
        <v>3.35</v>
      </c>
      <c r="T193" s="1" t="n">
        <v>89.2</v>
      </c>
    </row>
    <row r="194" customFormat="false" ht="16.5" hidden="false" customHeight="true" outlineLevel="0" collapsed="false">
      <c r="A194" s="1" t="n">
        <v>193</v>
      </c>
      <c r="B194" s="22" t="s">
        <v>613</v>
      </c>
      <c r="C194" s="22" t="s">
        <v>729</v>
      </c>
      <c r="D194" s="22" t="s">
        <v>731</v>
      </c>
      <c r="E194" s="22" t="s">
        <v>403</v>
      </c>
      <c r="Q194" s="1" t="n">
        <v>58</v>
      </c>
      <c r="R194" s="1" t="n">
        <v>0.57</v>
      </c>
      <c r="S194" s="1" t="n">
        <v>3.65</v>
      </c>
      <c r="T194" s="1" t="n">
        <v>101.8</v>
      </c>
    </row>
    <row r="195" customFormat="false" ht="16.5" hidden="false" customHeight="true" outlineLevel="0" collapsed="false">
      <c r="A195" s="1" t="n">
        <v>194</v>
      </c>
      <c r="B195" s="22" t="s">
        <v>613</v>
      </c>
      <c r="C195" s="22" t="s">
        <v>729</v>
      </c>
      <c r="D195" s="22" t="s">
        <v>732</v>
      </c>
      <c r="E195" s="22" t="s">
        <v>403</v>
      </c>
      <c r="Q195" s="1" t="n">
        <v>60</v>
      </c>
      <c r="R195" s="1" t="n">
        <v>0.6</v>
      </c>
      <c r="S195" s="1" t="n">
        <v>3.5</v>
      </c>
      <c r="T195" s="1" t="n">
        <v>100</v>
      </c>
    </row>
    <row r="196" customFormat="false" ht="16.5" hidden="false" customHeight="true" outlineLevel="0" collapsed="false">
      <c r="A196" s="1" t="n">
        <v>195</v>
      </c>
      <c r="B196" s="22" t="s">
        <v>613</v>
      </c>
      <c r="C196" s="22" t="s">
        <v>729</v>
      </c>
      <c r="D196" s="22" t="s">
        <v>733</v>
      </c>
      <c r="E196" s="22" t="s">
        <v>403</v>
      </c>
      <c r="Q196" s="1" t="n">
        <v>58</v>
      </c>
      <c r="R196" s="1" t="n">
        <v>0.57</v>
      </c>
      <c r="S196" s="1" t="n">
        <v>3.65</v>
      </c>
      <c r="T196" s="1" t="n">
        <v>101.8</v>
      </c>
    </row>
    <row r="197" customFormat="false" ht="16.5" hidden="false" customHeight="true" outlineLevel="0" collapsed="false">
      <c r="A197" s="1" t="n">
        <v>196</v>
      </c>
      <c r="B197" s="22" t="s">
        <v>613</v>
      </c>
      <c r="C197" s="22" t="s">
        <v>729</v>
      </c>
      <c r="D197" s="22" t="s">
        <v>734</v>
      </c>
      <c r="E197" s="22" t="s">
        <v>403</v>
      </c>
      <c r="Q197" s="1" t="n">
        <v>65</v>
      </c>
      <c r="R197" s="1" t="n">
        <v>0.65</v>
      </c>
      <c r="S197" s="1" t="n">
        <v>3.6</v>
      </c>
      <c r="T197" s="1" t="n">
        <v>100</v>
      </c>
    </row>
    <row r="198" customFormat="false" ht="16.5" hidden="false" customHeight="true" outlineLevel="0" collapsed="false">
      <c r="A198" s="1" t="n">
        <v>197</v>
      </c>
      <c r="B198" s="22" t="s">
        <v>613</v>
      </c>
      <c r="C198" s="22" t="s">
        <v>729</v>
      </c>
      <c r="D198" s="22" t="s">
        <v>735</v>
      </c>
      <c r="E198" s="1" t="s">
        <v>736</v>
      </c>
      <c r="Q198" s="1" t="n">
        <v>65</v>
      </c>
      <c r="R198" s="1" t="n">
        <v>0.6</v>
      </c>
      <c r="S198" s="1" t="n">
        <v>4</v>
      </c>
      <c r="T198" s="1" t="n">
        <v>108.3</v>
      </c>
    </row>
    <row r="199" customFormat="false" ht="16.5" hidden="false" customHeight="true" outlineLevel="0" collapsed="false">
      <c r="A199" s="1" t="n">
        <v>198</v>
      </c>
      <c r="B199" s="22" t="s">
        <v>613</v>
      </c>
      <c r="C199" s="22" t="s">
        <v>729</v>
      </c>
      <c r="D199" s="22" t="s">
        <v>737</v>
      </c>
      <c r="E199" s="22" t="s">
        <v>128</v>
      </c>
      <c r="Q199" s="1" t="n">
        <v>45</v>
      </c>
      <c r="R199" s="1" t="n">
        <v>0.4</v>
      </c>
      <c r="S199" s="1" t="n">
        <v>3.2</v>
      </c>
      <c r="T199" s="1" t="n">
        <v>112.5</v>
      </c>
    </row>
    <row r="200" customFormat="false" ht="16.5" hidden="false" customHeight="true" outlineLevel="0" collapsed="false">
      <c r="A200" s="1" t="n">
        <v>199</v>
      </c>
      <c r="B200" s="22" t="s">
        <v>613</v>
      </c>
      <c r="C200" s="22" t="s">
        <v>729</v>
      </c>
      <c r="D200" s="22" t="s">
        <v>738</v>
      </c>
      <c r="E200" s="1" t="s">
        <v>739</v>
      </c>
      <c r="Q200" s="1" t="n">
        <v>62</v>
      </c>
      <c r="R200" s="1" t="n">
        <v>0.55</v>
      </c>
      <c r="S200" s="1" t="n">
        <v>3.35</v>
      </c>
      <c r="T200" s="1" t="n">
        <v>112.7</v>
      </c>
    </row>
    <row r="201" customFormat="false" ht="16.5" hidden="false" customHeight="true" outlineLevel="0" collapsed="false">
      <c r="A201" s="1" t="n">
        <v>200</v>
      </c>
      <c r="B201" s="22" t="s">
        <v>613</v>
      </c>
      <c r="C201" s="22" t="s">
        <v>729</v>
      </c>
      <c r="D201" s="22" t="s">
        <v>740</v>
      </c>
      <c r="E201" s="22" t="s">
        <v>633</v>
      </c>
      <c r="Q201" s="1" t="n">
        <v>74</v>
      </c>
      <c r="R201" s="1" t="n">
        <v>0.55</v>
      </c>
      <c r="S201" s="1" t="n">
        <v>3.6</v>
      </c>
      <c r="T201" s="1" t="n">
        <v>134.5</v>
      </c>
    </row>
    <row r="202" customFormat="false" ht="16.5" hidden="false" customHeight="true" outlineLevel="0" collapsed="false">
      <c r="A202" s="1" t="n">
        <v>201</v>
      </c>
      <c r="B202" s="22" t="s">
        <v>613</v>
      </c>
      <c r="C202" s="22" t="s">
        <v>729</v>
      </c>
      <c r="D202" s="22" t="s">
        <v>741</v>
      </c>
      <c r="E202" s="1" t="s">
        <v>736</v>
      </c>
      <c r="Q202" s="1" t="n">
        <v>55</v>
      </c>
      <c r="R202" s="1" t="n">
        <v>0.33</v>
      </c>
      <c r="S202" s="1" t="n">
        <v>4.75</v>
      </c>
      <c r="T202" s="1" t="n">
        <v>166.7</v>
      </c>
    </row>
    <row r="203" customFormat="false" ht="16.5" hidden="false" customHeight="true" outlineLevel="0" collapsed="false">
      <c r="A203" s="1" t="n">
        <v>202</v>
      </c>
      <c r="B203" s="22" t="s">
        <v>613</v>
      </c>
      <c r="C203" s="22" t="s">
        <v>729</v>
      </c>
      <c r="D203" s="22" t="s">
        <v>742</v>
      </c>
      <c r="E203" s="1" t="s">
        <v>743</v>
      </c>
      <c r="Q203" s="1" t="n">
        <v>60</v>
      </c>
      <c r="R203" s="1" t="n">
        <v>0.73</v>
      </c>
      <c r="S203" s="1" t="n">
        <v>3.3</v>
      </c>
      <c r="T203" s="1" t="n">
        <v>82.2</v>
      </c>
    </row>
    <row r="204" customFormat="false" ht="16.5" hidden="false" customHeight="true" outlineLevel="0" collapsed="false">
      <c r="A204" s="1" t="n">
        <v>203</v>
      </c>
      <c r="B204" s="22" t="s">
        <v>613</v>
      </c>
      <c r="C204" s="22" t="s">
        <v>729</v>
      </c>
      <c r="D204" s="22" t="s">
        <v>744</v>
      </c>
      <c r="E204" s="22" t="s">
        <v>745</v>
      </c>
      <c r="Q204" s="1" t="n">
        <v>58</v>
      </c>
      <c r="R204" s="1" t="n">
        <v>0.53</v>
      </c>
      <c r="S204" s="1" t="n">
        <v>3.6</v>
      </c>
      <c r="T204" s="1" t="n">
        <v>109.4</v>
      </c>
    </row>
    <row r="205" customFormat="false" ht="16.5" hidden="false" customHeight="true" outlineLevel="0" collapsed="false">
      <c r="A205" s="1" t="n">
        <v>204</v>
      </c>
      <c r="B205" s="22" t="s">
        <v>613</v>
      </c>
      <c r="C205" s="22" t="s">
        <v>729</v>
      </c>
      <c r="D205" s="22" t="s">
        <v>746</v>
      </c>
      <c r="E205" s="22" t="s">
        <v>403</v>
      </c>
      <c r="Q205" s="1" t="n">
        <v>60</v>
      </c>
      <c r="R205" s="1" t="n">
        <v>0.4</v>
      </c>
      <c r="S205" s="1" t="n">
        <v>3.5</v>
      </c>
      <c r="T205" s="1" t="n">
        <v>150</v>
      </c>
    </row>
    <row r="206" customFormat="false" ht="16.5" hidden="false" customHeight="true" outlineLevel="0" collapsed="false">
      <c r="A206" s="1" t="n">
        <v>205</v>
      </c>
      <c r="B206" s="22" t="s">
        <v>613</v>
      </c>
      <c r="C206" s="22" t="s">
        <v>729</v>
      </c>
      <c r="D206" s="22" t="s">
        <v>747</v>
      </c>
      <c r="E206" s="22" t="s">
        <v>745</v>
      </c>
      <c r="Q206" s="1" t="n">
        <v>60</v>
      </c>
      <c r="R206" s="1" t="n">
        <v>0.51</v>
      </c>
      <c r="S206" s="1" t="n">
        <v>3.6</v>
      </c>
      <c r="T206" s="1" t="n">
        <v>117.6</v>
      </c>
    </row>
    <row r="207" customFormat="false" ht="16.5" hidden="false" customHeight="true" outlineLevel="0" collapsed="false">
      <c r="A207" s="1" t="n">
        <v>206</v>
      </c>
      <c r="B207" s="22" t="s">
        <v>613</v>
      </c>
      <c r="C207" s="22" t="s">
        <v>729</v>
      </c>
      <c r="D207" s="22" t="s">
        <v>748</v>
      </c>
      <c r="E207" s="22" t="s">
        <v>403</v>
      </c>
      <c r="Q207" s="1" t="n">
        <v>62</v>
      </c>
      <c r="R207" s="1" t="n">
        <v>0.55</v>
      </c>
      <c r="S207" s="1" t="n">
        <v>3.5</v>
      </c>
      <c r="T207" s="1" t="n">
        <v>112.7</v>
      </c>
    </row>
    <row r="208" customFormat="false" ht="16.5" hidden="false" customHeight="true" outlineLevel="0" collapsed="false">
      <c r="A208" s="1" t="n">
        <v>207</v>
      </c>
      <c r="B208" s="22" t="s">
        <v>613</v>
      </c>
      <c r="C208" s="22" t="s">
        <v>729</v>
      </c>
      <c r="D208" s="22" t="s">
        <v>749</v>
      </c>
      <c r="E208" s="22" t="s">
        <v>750</v>
      </c>
      <c r="Q208" s="1" t="n">
        <v>60</v>
      </c>
      <c r="R208" s="1" t="n">
        <v>0.55</v>
      </c>
      <c r="S208" s="1" t="n">
        <v>3.5</v>
      </c>
      <c r="T208" s="1" t="n">
        <v>109.1</v>
      </c>
    </row>
    <row r="209" customFormat="false" ht="16.5" hidden="false" customHeight="true" outlineLevel="0" collapsed="false">
      <c r="A209" s="1" t="n">
        <v>208</v>
      </c>
      <c r="B209" s="22" t="s">
        <v>613</v>
      </c>
      <c r="C209" s="22" t="s">
        <v>729</v>
      </c>
      <c r="D209" s="22" t="s">
        <v>751</v>
      </c>
      <c r="E209" s="22" t="s">
        <v>403</v>
      </c>
      <c r="Q209" s="1" t="n">
        <v>58</v>
      </c>
      <c r="R209" s="1" t="n">
        <v>0.56</v>
      </c>
      <c r="S209" s="1" t="n">
        <v>3.3</v>
      </c>
      <c r="T209" s="1" t="n">
        <v>103.6</v>
      </c>
    </row>
    <row r="210" customFormat="false" ht="16.5" hidden="false" customHeight="true" outlineLevel="0" collapsed="false">
      <c r="A210" s="1" t="n">
        <v>209</v>
      </c>
      <c r="B210" s="22" t="s">
        <v>613</v>
      </c>
      <c r="C210" s="22" t="s">
        <v>729</v>
      </c>
      <c r="D210" s="22" t="s">
        <v>752</v>
      </c>
      <c r="E210" s="22" t="s">
        <v>633</v>
      </c>
      <c r="Q210" s="1" t="n">
        <v>66</v>
      </c>
      <c r="R210" s="1" t="n">
        <v>0.4</v>
      </c>
      <c r="S210" s="1" t="n">
        <v>3.7</v>
      </c>
      <c r="T210" s="1" t="n">
        <v>165</v>
      </c>
    </row>
    <row r="211" customFormat="false" ht="16.5" hidden="false" customHeight="true" outlineLevel="0" collapsed="false">
      <c r="A211" s="1" t="n">
        <v>210</v>
      </c>
      <c r="B211" s="22" t="s">
        <v>613</v>
      </c>
      <c r="C211" s="22" t="s">
        <v>729</v>
      </c>
      <c r="D211" s="22" t="s">
        <v>753</v>
      </c>
      <c r="E211" s="1" t="s">
        <v>739</v>
      </c>
      <c r="Q211" s="1" t="n">
        <v>60</v>
      </c>
      <c r="R211" s="1" t="n">
        <v>0.35</v>
      </c>
      <c r="S211" s="1" t="n">
        <v>3.5</v>
      </c>
      <c r="T211" s="1" t="n">
        <v>171.4</v>
      </c>
    </row>
    <row r="212" customFormat="false" ht="16.5" hidden="false" customHeight="true" outlineLevel="0" collapsed="false">
      <c r="A212" s="1" t="n">
        <v>211</v>
      </c>
      <c r="B212" s="22" t="s">
        <v>613</v>
      </c>
      <c r="C212" s="22" t="s">
        <v>729</v>
      </c>
      <c r="D212" s="22" t="s">
        <v>754</v>
      </c>
      <c r="E212" s="22" t="s">
        <v>128</v>
      </c>
      <c r="Q212" s="1" t="n">
        <v>45</v>
      </c>
      <c r="R212" s="1" t="n">
        <v>0.45</v>
      </c>
      <c r="S212" s="1" t="n">
        <v>3.4</v>
      </c>
      <c r="T212" s="1" t="n">
        <v>100</v>
      </c>
    </row>
    <row r="213" customFormat="false" ht="16.5" hidden="false" customHeight="true" outlineLevel="0" collapsed="false">
      <c r="A213" s="1" t="n">
        <v>212</v>
      </c>
      <c r="B213" s="22" t="s">
        <v>613</v>
      </c>
      <c r="C213" s="22" t="s">
        <v>729</v>
      </c>
      <c r="D213" s="22" t="s">
        <v>755</v>
      </c>
      <c r="E213" s="22" t="s">
        <v>745</v>
      </c>
      <c r="Q213" s="1" t="n">
        <v>60</v>
      </c>
      <c r="R213" s="1" t="n">
        <v>0.45</v>
      </c>
      <c r="S213" s="1" t="n">
        <v>3.5</v>
      </c>
      <c r="T213" s="1" t="n">
        <v>133.3</v>
      </c>
    </row>
    <row r="214" customFormat="false" ht="16.5" hidden="false" customHeight="true" outlineLevel="0" collapsed="false">
      <c r="A214" s="1" t="n">
        <v>213</v>
      </c>
      <c r="B214" s="22" t="s">
        <v>613</v>
      </c>
      <c r="C214" s="22" t="s">
        <v>729</v>
      </c>
      <c r="D214" s="22" t="s">
        <v>756</v>
      </c>
      <c r="E214" s="22" t="s">
        <v>757</v>
      </c>
      <c r="Q214" s="1" t="n">
        <v>68</v>
      </c>
      <c r="S214" s="1" t="n">
        <v>3.45</v>
      </c>
    </row>
    <row r="215" customFormat="false" ht="16.5" hidden="false" customHeight="true" outlineLevel="0" collapsed="false">
      <c r="A215" s="1" t="n">
        <v>214</v>
      </c>
      <c r="B215" s="22" t="s">
        <v>613</v>
      </c>
      <c r="C215" s="22" t="s">
        <v>729</v>
      </c>
      <c r="D215" s="22" t="s">
        <v>758</v>
      </c>
      <c r="E215" s="22" t="s">
        <v>750</v>
      </c>
      <c r="Q215" s="1" t="n">
        <v>60</v>
      </c>
      <c r="R215" s="1" t="n">
        <v>0.45</v>
      </c>
      <c r="S215" s="1" t="n">
        <v>3.5</v>
      </c>
      <c r="T215" s="1" t="n">
        <v>133.3</v>
      </c>
    </row>
    <row r="216" customFormat="false" ht="16.5" hidden="false" customHeight="true" outlineLevel="0" collapsed="false">
      <c r="A216" s="1" t="n">
        <v>215</v>
      </c>
      <c r="B216" s="22" t="s">
        <v>613</v>
      </c>
      <c r="C216" s="22" t="s">
        <v>729</v>
      </c>
      <c r="D216" s="22" t="s">
        <v>759</v>
      </c>
      <c r="E216" s="22" t="s">
        <v>633</v>
      </c>
      <c r="Q216" s="1" t="n">
        <v>65</v>
      </c>
      <c r="R216" s="1" t="n">
        <v>0.4</v>
      </c>
      <c r="S216" s="1" t="n">
        <v>3.7</v>
      </c>
      <c r="T216" s="1" t="n">
        <v>162.5</v>
      </c>
    </row>
    <row r="217" customFormat="false" ht="16.5" hidden="false" customHeight="true" outlineLevel="0" collapsed="false">
      <c r="A217" s="1" t="n">
        <v>216</v>
      </c>
      <c r="B217" s="22" t="s">
        <v>613</v>
      </c>
      <c r="C217" s="22" t="s">
        <v>729</v>
      </c>
      <c r="D217" s="22" t="s">
        <v>760</v>
      </c>
      <c r="E217" s="22" t="s">
        <v>128</v>
      </c>
      <c r="Q217" s="1" t="n">
        <v>45</v>
      </c>
      <c r="R217" s="1" t="n">
        <v>0.4</v>
      </c>
      <c r="S217" s="1" t="n">
        <v>3.4</v>
      </c>
      <c r="T217" s="1" t="n">
        <v>112.5</v>
      </c>
    </row>
    <row r="218" customFormat="false" ht="16.5" hidden="false" customHeight="true" outlineLevel="0" collapsed="false">
      <c r="A218" s="1" t="n">
        <v>217</v>
      </c>
      <c r="B218" s="22" t="s">
        <v>613</v>
      </c>
      <c r="C218" s="22" t="s">
        <v>729</v>
      </c>
      <c r="D218" s="22" t="s">
        <v>761</v>
      </c>
      <c r="E218" s="22" t="s">
        <v>762</v>
      </c>
      <c r="Q218" s="1" t="n">
        <v>65</v>
      </c>
      <c r="R218" s="1" t="n">
        <v>0.75</v>
      </c>
      <c r="S218" s="1" t="n">
        <v>4</v>
      </c>
      <c r="T218" s="1" t="n">
        <v>86.7</v>
      </c>
    </row>
    <row r="219" customFormat="false" ht="16.5" hidden="false" customHeight="true" outlineLevel="0" collapsed="false">
      <c r="A219" s="1" t="n">
        <v>218</v>
      </c>
      <c r="B219" s="22" t="s">
        <v>613</v>
      </c>
      <c r="C219" s="22" t="s">
        <v>729</v>
      </c>
      <c r="D219" s="22" t="s">
        <v>763</v>
      </c>
      <c r="E219" s="22" t="s">
        <v>764</v>
      </c>
      <c r="Q219" s="1" t="n">
        <v>65</v>
      </c>
      <c r="R219" s="1" t="n">
        <v>0.7</v>
      </c>
      <c r="S219" s="1" t="n">
        <v>3.15</v>
      </c>
      <c r="T219" s="1" t="n">
        <v>92.9</v>
      </c>
    </row>
    <row r="220" customFormat="false" ht="16.5" hidden="false" customHeight="true" outlineLevel="0" collapsed="false">
      <c r="A220" s="1" t="n">
        <v>219</v>
      </c>
      <c r="B220" s="22" t="s">
        <v>613</v>
      </c>
      <c r="C220" s="22" t="s">
        <v>729</v>
      </c>
      <c r="D220" s="22" t="s">
        <v>765</v>
      </c>
      <c r="E220" s="22" t="s">
        <v>745</v>
      </c>
      <c r="Q220" s="1" t="n">
        <v>55</v>
      </c>
      <c r="R220" s="1" t="n">
        <v>0.45</v>
      </c>
      <c r="S220" s="1" t="n">
        <v>3.85</v>
      </c>
      <c r="T220" s="1" t="n">
        <v>122.2</v>
      </c>
    </row>
    <row r="221" customFormat="false" ht="15" hidden="false" customHeight="true" outlineLevel="0" collapsed="false">
      <c r="A221" s="1" t="n">
        <v>220</v>
      </c>
      <c r="B221" s="22" t="s">
        <v>766</v>
      </c>
      <c r="C221" s="22" t="s">
        <v>767</v>
      </c>
      <c r="D221" s="22" t="s">
        <v>768</v>
      </c>
      <c r="E221" s="22" t="s">
        <v>372</v>
      </c>
      <c r="Q221" s="1" t="n">
        <v>7.4</v>
      </c>
      <c r="R221" s="1" t="n">
        <v>0.19</v>
      </c>
      <c r="S221" s="1" t="n">
        <v>3.7</v>
      </c>
      <c r="T221" s="1" t="n">
        <v>38.9</v>
      </c>
    </row>
    <row r="222" customFormat="false" ht="15" hidden="false" customHeight="true" outlineLevel="0" collapsed="false">
      <c r="A222" s="1" t="n">
        <v>221</v>
      </c>
      <c r="B222" s="22" t="s">
        <v>766</v>
      </c>
      <c r="C222" s="22" t="s">
        <v>767</v>
      </c>
      <c r="D222" s="22" t="s">
        <v>769</v>
      </c>
      <c r="E222" s="22" t="s">
        <v>372</v>
      </c>
      <c r="Q222" s="1" t="n">
        <v>7.15</v>
      </c>
      <c r="R222" s="1" t="n">
        <v>0.22</v>
      </c>
      <c r="S222" s="1" t="n">
        <v>3.5</v>
      </c>
      <c r="T222" s="1" t="n">
        <v>32.5</v>
      </c>
    </row>
    <row r="223" customFormat="false" ht="15" hidden="false" customHeight="true" outlineLevel="0" collapsed="false">
      <c r="A223" s="1" t="n">
        <v>222</v>
      </c>
      <c r="B223" s="22" t="s">
        <v>766</v>
      </c>
      <c r="C223" s="22" t="s">
        <v>767</v>
      </c>
      <c r="D223" s="22" t="s">
        <v>770</v>
      </c>
      <c r="E223" s="22" t="s">
        <v>372</v>
      </c>
      <c r="Q223" s="1" t="n">
        <v>7.45</v>
      </c>
      <c r="R223" s="1" t="n">
        <v>0.18</v>
      </c>
      <c r="S223" s="1" t="n">
        <v>3.6</v>
      </c>
      <c r="T223" s="1" t="n">
        <v>41.4</v>
      </c>
    </row>
    <row r="224" customFormat="false" ht="15" hidden="false" customHeight="true" outlineLevel="0" collapsed="false">
      <c r="A224" s="1" t="n">
        <v>223</v>
      </c>
      <c r="B224" s="22" t="s">
        <v>766</v>
      </c>
      <c r="C224" s="22" t="s">
        <v>767</v>
      </c>
      <c r="D224" s="22" t="s">
        <v>771</v>
      </c>
      <c r="E224" s="22" t="s">
        <v>772</v>
      </c>
      <c r="Q224" s="1" t="n">
        <v>9.5</v>
      </c>
      <c r="R224" s="1" t="n">
        <v>0.23</v>
      </c>
      <c r="S224" s="1" t="n">
        <v>3.2</v>
      </c>
      <c r="T224" s="1" t="n">
        <v>41.3</v>
      </c>
    </row>
    <row r="225" customFormat="false" ht="16.5" hidden="false" customHeight="true" outlineLevel="0" collapsed="false">
      <c r="A225" s="1" t="n">
        <v>224</v>
      </c>
      <c r="B225" s="22" t="s">
        <v>766</v>
      </c>
      <c r="C225" s="22" t="s">
        <v>767</v>
      </c>
      <c r="D225" s="22" t="s">
        <v>773</v>
      </c>
      <c r="E225" s="22" t="s">
        <v>372</v>
      </c>
      <c r="Q225" s="1" t="n">
        <v>13.9</v>
      </c>
      <c r="R225" s="1" t="n">
        <v>0.34</v>
      </c>
      <c r="S225" s="1" t="n">
        <v>3.5</v>
      </c>
      <c r="T225" s="1" t="n">
        <v>40.9</v>
      </c>
    </row>
    <row r="226" customFormat="false" ht="15" hidden="false" customHeight="true" outlineLevel="0" collapsed="false">
      <c r="A226" s="1" t="n">
        <v>225</v>
      </c>
      <c r="B226" s="22" t="s">
        <v>766</v>
      </c>
      <c r="C226" s="22" t="s">
        <v>767</v>
      </c>
      <c r="D226" s="22" t="s">
        <v>774</v>
      </c>
      <c r="E226" s="22" t="s">
        <v>114</v>
      </c>
      <c r="Q226" s="1" t="n">
        <v>12.4</v>
      </c>
      <c r="R226" s="1" t="n">
        <v>0.28</v>
      </c>
      <c r="S226" s="1" t="n">
        <v>3.2</v>
      </c>
      <c r="T226" s="1" t="n">
        <v>44.3</v>
      </c>
    </row>
    <row r="227" customFormat="false" ht="15" hidden="false" customHeight="true" outlineLevel="0" collapsed="false">
      <c r="A227" s="1" t="n">
        <v>226</v>
      </c>
      <c r="B227" s="22" t="s">
        <v>766</v>
      </c>
      <c r="C227" s="22" t="s">
        <v>767</v>
      </c>
      <c r="D227" s="22" t="s">
        <v>775</v>
      </c>
      <c r="E227" s="22" t="s">
        <v>137</v>
      </c>
      <c r="Q227" s="1" t="n">
        <v>13.8</v>
      </c>
      <c r="R227" s="1" t="n">
        <v>0.21</v>
      </c>
      <c r="T227" s="1" t="n">
        <v>65.7</v>
      </c>
    </row>
    <row r="228" customFormat="false" ht="16.5" hidden="false" customHeight="true" outlineLevel="0" collapsed="false">
      <c r="A228" s="1" t="n">
        <v>227</v>
      </c>
      <c r="B228" s="22" t="s">
        <v>766</v>
      </c>
      <c r="C228" s="22" t="s">
        <v>767</v>
      </c>
      <c r="D228" s="22" t="s">
        <v>776</v>
      </c>
      <c r="E228" s="22" t="s">
        <v>114</v>
      </c>
      <c r="Q228" s="1" t="n">
        <v>12.6</v>
      </c>
      <c r="R228" s="1" t="n">
        <v>0.4</v>
      </c>
      <c r="S228" s="1" t="n">
        <v>3</v>
      </c>
      <c r="T228" s="1" t="n">
        <v>31.5</v>
      </c>
    </row>
    <row r="229" customFormat="false" ht="16.5" hidden="false" customHeight="true" outlineLevel="0" collapsed="false">
      <c r="A229" s="1" t="n">
        <v>228</v>
      </c>
      <c r="B229" s="22" t="s">
        <v>766</v>
      </c>
      <c r="C229" s="22" t="s">
        <v>767</v>
      </c>
      <c r="D229" s="22" t="s">
        <v>777</v>
      </c>
      <c r="E229" s="22" t="s">
        <v>403</v>
      </c>
      <c r="Q229" s="1" t="n">
        <v>12</v>
      </c>
      <c r="R229" s="1" t="n">
        <v>0.196</v>
      </c>
      <c r="S229" s="1" t="n">
        <v>3.1</v>
      </c>
      <c r="T229" s="1" t="n">
        <v>61.2</v>
      </c>
    </row>
    <row r="230" customFormat="false" ht="16.5" hidden="false" customHeight="true" outlineLevel="0" collapsed="false">
      <c r="A230" s="1" t="n">
        <v>229</v>
      </c>
      <c r="B230" s="22" t="s">
        <v>766</v>
      </c>
      <c r="C230" s="22" t="s">
        <v>767</v>
      </c>
      <c r="D230" s="22" t="s">
        <v>778</v>
      </c>
      <c r="E230" s="22" t="s">
        <v>403</v>
      </c>
      <c r="Q230" s="1" t="n">
        <v>12</v>
      </c>
      <c r="R230" s="1" t="n">
        <v>0.22</v>
      </c>
      <c r="S230" s="1" t="n">
        <v>3.1</v>
      </c>
      <c r="T230" s="1" t="n">
        <v>54.5</v>
      </c>
    </row>
    <row r="231" customFormat="false" ht="15" hidden="false" customHeight="true" outlineLevel="0" collapsed="false">
      <c r="A231" s="1" t="n">
        <v>230</v>
      </c>
      <c r="B231" s="22" t="s">
        <v>766</v>
      </c>
      <c r="C231" s="22" t="s">
        <v>767</v>
      </c>
      <c r="D231" s="22" t="s">
        <v>779</v>
      </c>
      <c r="E231" s="22" t="s">
        <v>159</v>
      </c>
      <c r="Q231" s="1" t="n">
        <v>12.5</v>
      </c>
      <c r="R231" s="1" t="n">
        <v>0.35</v>
      </c>
      <c r="S231" s="1" t="n">
        <v>3.7</v>
      </c>
      <c r="T231" s="1" t="n">
        <v>35.7</v>
      </c>
    </row>
    <row r="232" customFormat="false" ht="15" hidden="false" customHeight="true" outlineLevel="0" collapsed="false">
      <c r="A232" s="1" t="n">
        <v>231</v>
      </c>
      <c r="B232" s="22" t="s">
        <v>766</v>
      </c>
      <c r="C232" s="22" t="s">
        <v>767</v>
      </c>
      <c r="D232" s="22" t="s">
        <v>780</v>
      </c>
      <c r="E232" s="22" t="s">
        <v>772</v>
      </c>
      <c r="Q232" s="1" t="n">
        <v>13.8</v>
      </c>
      <c r="R232" s="1" t="n">
        <v>0.21</v>
      </c>
      <c r="S232" s="1" t="n">
        <v>3.3</v>
      </c>
      <c r="T232" s="1" t="n">
        <v>65.7</v>
      </c>
    </row>
    <row r="233" customFormat="false" ht="15" hidden="false" customHeight="true" outlineLevel="0" collapsed="false">
      <c r="A233" s="1" t="n">
        <v>232</v>
      </c>
      <c r="B233" s="22" t="s">
        <v>766</v>
      </c>
      <c r="C233" s="22" t="s">
        <v>767</v>
      </c>
      <c r="D233" s="22" t="s">
        <v>781</v>
      </c>
      <c r="E233" s="22" t="s">
        <v>782</v>
      </c>
      <c r="Q233" s="1" t="n">
        <v>11.7</v>
      </c>
      <c r="R233" s="1" t="n">
        <v>0.2</v>
      </c>
      <c r="S233" s="1" t="n">
        <v>3.4</v>
      </c>
      <c r="T233" s="1" t="n">
        <v>58.5</v>
      </c>
    </row>
    <row r="234" customFormat="false" ht="15" hidden="false" customHeight="true" outlineLevel="0" collapsed="false">
      <c r="A234" s="1" t="n">
        <v>233</v>
      </c>
      <c r="B234" s="22" t="s">
        <v>766</v>
      </c>
      <c r="C234" s="22" t="s">
        <v>767</v>
      </c>
      <c r="D234" s="22" t="s">
        <v>783</v>
      </c>
      <c r="E234" s="22" t="s">
        <v>159</v>
      </c>
      <c r="Q234" s="1" t="n">
        <v>15.1</v>
      </c>
      <c r="R234" s="1" t="n">
        <v>0.38</v>
      </c>
      <c r="S234" s="1" t="n">
        <v>3.3</v>
      </c>
      <c r="T234" s="1" t="n">
        <v>39.7</v>
      </c>
    </row>
    <row r="235" customFormat="false" ht="16.5" hidden="false" customHeight="true" outlineLevel="0" collapsed="false">
      <c r="A235" s="1" t="n">
        <v>234</v>
      </c>
      <c r="B235" s="22" t="s">
        <v>766</v>
      </c>
      <c r="C235" s="22" t="s">
        <v>767</v>
      </c>
      <c r="D235" s="22" t="s">
        <v>784</v>
      </c>
      <c r="E235" s="22" t="s">
        <v>782</v>
      </c>
      <c r="Q235" s="1" t="n">
        <v>13.2</v>
      </c>
      <c r="R235" s="1" t="n">
        <v>0.21</v>
      </c>
      <c r="S235" s="1" t="n">
        <v>3.2</v>
      </c>
      <c r="T235" s="1" t="n">
        <v>62.9</v>
      </c>
    </row>
    <row r="236" customFormat="false" ht="16.5" hidden="false" customHeight="true" outlineLevel="0" collapsed="false">
      <c r="A236" s="1" t="n">
        <v>235</v>
      </c>
      <c r="B236" s="22" t="s">
        <v>766</v>
      </c>
      <c r="C236" s="22" t="s">
        <v>767</v>
      </c>
      <c r="D236" s="22" t="s">
        <v>785</v>
      </c>
      <c r="E236" s="22" t="s">
        <v>782</v>
      </c>
      <c r="Q236" s="1" t="n">
        <v>15.3</v>
      </c>
      <c r="R236" s="1" t="n">
        <v>0.23</v>
      </c>
      <c r="S236" s="1" t="n">
        <v>3.1</v>
      </c>
      <c r="T236" s="1" t="n">
        <v>66.5</v>
      </c>
    </row>
    <row r="237" customFormat="false" ht="15" hidden="false" customHeight="true" outlineLevel="0" collapsed="false">
      <c r="A237" s="1" t="n">
        <v>236</v>
      </c>
      <c r="B237" s="22" t="s">
        <v>766</v>
      </c>
      <c r="C237" s="22" t="s">
        <v>767</v>
      </c>
      <c r="D237" s="22" t="s">
        <v>786</v>
      </c>
      <c r="E237" s="22" t="s">
        <v>782</v>
      </c>
      <c r="Q237" s="1" t="n">
        <v>12.7</v>
      </c>
      <c r="R237" s="1" t="n">
        <v>0.22</v>
      </c>
      <c r="S237" s="1" t="n">
        <v>3.1</v>
      </c>
      <c r="T237" s="1" t="n">
        <v>57.7</v>
      </c>
    </row>
    <row r="238" customFormat="false" ht="15" hidden="false" customHeight="true" outlineLevel="0" collapsed="false">
      <c r="A238" s="1" t="n">
        <v>237</v>
      </c>
      <c r="B238" s="22" t="s">
        <v>766</v>
      </c>
      <c r="C238" s="22" t="s">
        <v>767</v>
      </c>
      <c r="D238" s="22" t="s">
        <v>787</v>
      </c>
      <c r="E238" s="22" t="s">
        <v>137</v>
      </c>
      <c r="Q238" s="1" t="n">
        <v>13.8</v>
      </c>
      <c r="R238" s="1" t="n">
        <v>0.21</v>
      </c>
      <c r="T238" s="1" t="n">
        <v>65.7</v>
      </c>
    </row>
    <row r="239" customFormat="false" ht="15" hidden="false" customHeight="true" outlineLevel="0" collapsed="false">
      <c r="A239" s="1" t="n">
        <v>238</v>
      </c>
      <c r="B239" s="22" t="s">
        <v>766</v>
      </c>
      <c r="C239" s="22" t="s">
        <v>767</v>
      </c>
      <c r="D239" s="22" t="s">
        <v>788</v>
      </c>
      <c r="E239" s="22" t="s">
        <v>107</v>
      </c>
      <c r="Q239" s="1" t="n">
        <v>13.71</v>
      </c>
      <c r="S239" s="1" t="n">
        <v>3.8</v>
      </c>
    </row>
    <row r="240" customFormat="false" ht="15" hidden="false" customHeight="true" outlineLevel="0" collapsed="false">
      <c r="A240" s="1" t="n">
        <v>239</v>
      </c>
      <c r="B240" s="22" t="s">
        <v>766</v>
      </c>
      <c r="C240" s="22" t="s">
        <v>767</v>
      </c>
      <c r="D240" s="22" t="s">
        <v>789</v>
      </c>
      <c r="E240" s="22" t="s">
        <v>107</v>
      </c>
      <c r="Q240" s="1" t="n">
        <v>17.37</v>
      </c>
      <c r="S240" s="1" t="n">
        <v>2.5</v>
      </c>
    </row>
    <row r="241" customFormat="false" ht="15" hidden="false" customHeight="true" outlineLevel="0" collapsed="false">
      <c r="A241" s="1" t="n">
        <v>240</v>
      </c>
      <c r="B241" s="22" t="s">
        <v>766</v>
      </c>
      <c r="C241" s="22" t="s">
        <v>767</v>
      </c>
      <c r="D241" s="22" t="s">
        <v>790</v>
      </c>
      <c r="E241" s="22" t="s">
        <v>372</v>
      </c>
      <c r="Q241" s="1" t="n">
        <v>16.3</v>
      </c>
      <c r="R241" s="1" t="n">
        <v>0.044</v>
      </c>
      <c r="S241" s="1" t="n">
        <v>3.2</v>
      </c>
      <c r="T241" s="1" t="n">
        <v>370.5</v>
      </c>
    </row>
    <row r="242" customFormat="false" ht="15" hidden="false" customHeight="true" outlineLevel="0" collapsed="false">
      <c r="A242" s="1" t="n">
        <v>241</v>
      </c>
      <c r="B242" s="22" t="s">
        <v>766</v>
      </c>
      <c r="C242" s="22" t="s">
        <v>767</v>
      </c>
      <c r="D242" s="22" t="s">
        <v>791</v>
      </c>
      <c r="E242" s="22" t="s">
        <v>372</v>
      </c>
      <c r="Q242" s="1" t="n">
        <v>11.9</v>
      </c>
      <c r="R242" s="1" t="n">
        <v>0.517</v>
      </c>
      <c r="S242" s="1" t="n">
        <v>3.43</v>
      </c>
      <c r="T242" s="1" t="n">
        <v>23</v>
      </c>
    </row>
    <row r="243" customFormat="false" ht="15" hidden="false" customHeight="true" outlineLevel="0" collapsed="false">
      <c r="A243" s="1" t="n">
        <v>242</v>
      </c>
      <c r="B243" s="22" t="s">
        <v>766</v>
      </c>
      <c r="C243" s="22" t="s">
        <v>767</v>
      </c>
      <c r="D243" s="22" t="s">
        <v>792</v>
      </c>
      <c r="E243" s="22" t="s">
        <v>372</v>
      </c>
      <c r="Q243" s="1" t="n">
        <v>13.1</v>
      </c>
      <c r="R243" s="1" t="n">
        <v>0.29</v>
      </c>
      <c r="S243" s="1" t="n">
        <v>2.85</v>
      </c>
      <c r="T243" s="1" t="n">
        <v>45.2</v>
      </c>
    </row>
    <row r="244" customFormat="false" ht="16.5" hidden="false" customHeight="true" outlineLevel="0" collapsed="false">
      <c r="A244" s="1" t="n">
        <v>243</v>
      </c>
      <c r="B244" s="22" t="s">
        <v>766</v>
      </c>
      <c r="C244" s="22" t="s">
        <v>767</v>
      </c>
      <c r="D244" s="1" t="s">
        <v>793</v>
      </c>
      <c r="E244" s="22" t="s">
        <v>620</v>
      </c>
      <c r="Q244" s="1" t="n">
        <v>6.9</v>
      </c>
      <c r="R244" s="1" t="n">
        <v>0.105</v>
      </c>
      <c r="S244" s="1" t="n">
        <v>3.4</v>
      </c>
      <c r="T244" s="1" t="n">
        <v>65.7</v>
      </c>
    </row>
    <row r="245" customFormat="false" ht="16.5" hidden="false" customHeight="true" outlineLevel="0" collapsed="false">
      <c r="A245" s="1" t="n">
        <v>244</v>
      </c>
      <c r="B245" s="22" t="s">
        <v>766</v>
      </c>
      <c r="C245" s="22" t="s">
        <v>767</v>
      </c>
      <c r="D245" s="22" t="s">
        <v>794</v>
      </c>
      <c r="E245" s="22" t="s">
        <v>795</v>
      </c>
      <c r="Q245" s="1" t="n">
        <v>8.2</v>
      </c>
      <c r="R245" s="1" t="n">
        <v>0.5</v>
      </c>
      <c r="S245" s="1" t="n">
        <v>3.3</v>
      </c>
      <c r="T245" s="1" t="n">
        <v>16.4</v>
      </c>
    </row>
    <row r="246" customFormat="false" ht="15" hidden="false" customHeight="true" outlineLevel="0" collapsed="false">
      <c r="A246" s="1" t="n">
        <v>245</v>
      </c>
      <c r="B246" s="22" t="s">
        <v>766</v>
      </c>
      <c r="C246" s="22" t="s">
        <v>767</v>
      </c>
      <c r="D246" s="22" t="s">
        <v>796</v>
      </c>
      <c r="E246" s="22" t="s">
        <v>372</v>
      </c>
      <c r="Q246" s="1" t="n">
        <v>12.7</v>
      </c>
      <c r="R246" s="1" t="n">
        <v>0.36</v>
      </c>
      <c r="S246" s="1" t="n">
        <v>2.75</v>
      </c>
      <c r="T246" s="1" t="n">
        <v>35.3</v>
      </c>
    </row>
    <row r="247" customFormat="false" ht="15" hidden="false" customHeight="true" outlineLevel="0" collapsed="false">
      <c r="A247" s="1" t="n">
        <v>246</v>
      </c>
      <c r="B247" s="22" t="s">
        <v>766</v>
      </c>
      <c r="C247" s="22" t="s">
        <v>767</v>
      </c>
      <c r="D247" s="22" t="s">
        <v>797</v>
      </c>
      <c r="E247" s="22" t="s">
        <v>620</v>
      </c>
      <c r="Q247" s="1" t="n">
        <v>7</v>
      </c>
      <c r="R247" s="1" t="n">
        <v>0.2</v>
      </c>
      <c r="S247" s="1" t="n">
        <v>3</v>
      </c>
      <c r="T247" s="1" t="n">
        <v>35</v>
      </c>
    </row>
    <row r="248" customFormat="false" ht="15" hidden="false" customHeight="true" outlineLevel="0" collapsed="false">
      <c r="A248" s="1" t="n">
        <v>247</v>
      </c>
      <c r="B248" s="22" t="s">
        <v>766</v>
      </c>
      <c r="C248" s="22" t="s">
        <v>767</v>
      </c>
      <c r="D248" s="22" t="s">
        <v>798</v>
      </c>
      <c r="E248" s="22" t="s">
        <v>114</v>
      </c>
      <c r="Q248" s="1" t="n">
        <v>8.2</v>
      </c>
      <c r="R248" s="1" t="n">
        <v>0.5</v>
      </c>
      <c r="S248" s="1" t="n">
        <v>3.3</v>
      </c>
      <c r="T248" s="1" t="n">
        <v>16.4</v>
      </c>
    </row>
    <row r="249" customFormat="false" ht="15" hidden="false" customHeight="true" outlineLevel="0" collapsed="false">
      <c r="A249" s="1" t="n">
        <v>248</v>
      </c>
      <c r="B249" s="22" t="s">
        <v>766</v>
      </c>
      <c r="C249" s="22" t="s">
        <v>767</v>
      </c>
      <c r="D249" s="22" t="s">
        <v>799</v>
      </c>
      <c r="E249" s="22" t="s">
        <v>372</v>
      </c>
      <c r="Q249" s="1" t="n">
        <v>11.3</v>
      </c>
      <c r="R249" s="1" t="n">
        <v>0.36</v>
      </c>
      <c r="S249" s="1" t="n">
        <v>3.75</v>
      </c>
      <c r="T249" s="1" t="n">
        <v>31.4</v>
      </c>
    </row>
    <row r="250" customFormat="false" ht="16.5" hidden="false" customHeight="true" outlineLevel="0" collapsed="false">
      <c r="A250" s="1" t="n">
        <v>249</v>
      </c>
      <c r="B250" s="22" t="s">
        <v>766</v>
      </c>
      <c r="C250" s="22" t="s">
        <v>767</v>
      </c>
      <c r="D250" s="22" t="s">
        <v>800</v>
      </c>
      <c r="E250" s="22" t="s">
        <v>403</v>
      </c>
      <c r="Q250" s="1" t="n">
        <v>0.36</v>
      </c>
      <c r="S250" s="1" t="n">
        <v>6</v>
      </c>
    </row>
    <row r="251" customFormat="false" ht="16.5" hidden="false" customHeight="true" outlineLevel="0" collapsed="false">
      <c r="A251" s="1" t="n">
        <v>250</v>
      </c>
      <c r="B251" s="22" t="s">
        <v>766</v>
      </c>
      <c r="C251" s="22" t="s">
        <v>767</v>
      </c>
      <c r="D251" s="22" t="s">
        <v>801</v>
      </c>
      <c r="E251" s="22" t="s">
        <v>403</v>
      </c>
      <c r="Q251" s="1" t="n">
        <v>11.9</v>
      </c>
      <c r="R251" s="1" t="n">
        <v>0.48</v>
      </c>
      <c r="S251" s="1" t="n">
        <v>3.25</v>
      </c>
      <c r="T251" s="1" t="n">
        <v>24.8</v>
      </c>
    </row>
    <row r="252" customFormat="false" ht="16.5" hidden="false" customHeight="true" outlineLevel="0" collapsed="false">
      <c r="A252" s="1" t="n">
        <v>251</v>
      </c>
      <c r="B252" s="22" t="s">
        <v>766</v>
      </c>
      <c r="C252" s="22" t="s">
        <v>767</v>
      </c>
      <c r="D252" s="22" t="s">
        <v>802</v>
      </c>
      <c r="E252" s="22" t="s">
        <v>364</v>
      </c>
      <c r="Q252" s="1" t="n">
        <v>8.6</v>
      </c>
      <c r="R252" s="1" t="n">
        <v>0.382</v>
      </c>
      <c r="T252" s="1" t="n">
        <v>22.5</v>
      </c>
    </row>
    <row r="253" customFormat="false" ht="16.5" hidden="false" customHeight="true" outlineLevel="0" collapsed="false">
      <c r="A253" s="1" t="n">
        <v>252</v>
      </c>
      <c r="B253" s="22" t="s">
        <v>766</v>
      </c>
      <c r="C253" s="22" t="s">
        <v>767</v>
      </c>
      <c r="D253" s="22" t="s">
        <v>803</v>
      </c>
      <c r="E253" s="22" t="s">
        <v>403</v>
      </c>
      <c r="Q253" s="1" t="n">
        <v>0.18</v>
      </c>
      <c r="S253" s="1" t="n">
        <v>6</v>
      </c>
    </row>
    <row r="254" customFormat="false" ht="15" hidden="false" customHeight="true" outlineLevel="0" collapsed="false">
      <c r="A254" s="1" t="n">
        <v>253</v>
      </c>
      <c r="B254" s="22" t="s">
        <v>766</v>
      </c>
      <c r="C254" s="22" t="s">
        <v>767</v>
      </c>
      <c r="D254" s="22" t="s">
        <v>804</v>
      </c>
      <c r="E254" s="22" t="s">
        <v>782</v>
      </c>
      <c r="Q254" s="1" t="n">
        <v>14.2</v>
      </c>
      <c r="R254" s="1" t="n">
        <v>0.34</v>
      </c>
      <c r="S254" s="1" t="n">
        <v>3.4</v>
      </c>
      <c r="T254" s="1" t="n">
        <v>41.8</v>
      </c>
    </row>
    <row r="255" customFormat="false" ht="15" hidden="false" customHeight="true" outlineLevel="0" collapsed="false">
      <c r="A255" s="1" t="n">
        <v>254</v>
      </c>
      <c r="B255" s="22" t="s">
        <v>766</v>
      </c>
      <c r="C255" s="22" t="s">
        <v>767</v>
      </c>
      <c r="D255" s="22" t="s">
        <v>805</v>
      </c>
      <c r="E255" s="22" t="s">
        <v>114</v>
      </c>
      <c r="Q255" s="1" t="n">
        <v>12.4</v>
      </c>
      <c r="R255" s="1" t="n">
        <v>0.58</v>
      </c>
      <c r="S255" s="1" t="n">
        <v>3.7</v>
      </c>
      <c r="T255" s="1" t="n">
        <v>21.4</v>
      </c>
    </row>
    <row r="256" customFormat="false" ht="15" hidden="false" customHeight="true" outlineLevel="0" collapsed="false">
      <c r="A256" s="1" t="n">
        <v>255</v>
      </c>
      <c r="B256" s="22" t="s">
        <v>766</v>
      </c>
      <c r="C256" s="22" t="s">
        <v>767</v>
      </c>
      <c r="D256" s="22" t="s">
        <v>806</v>
      </c>
      <c r="E256" s="22" t="s">
        <v>620</v>
      </c>
      <c r="Q256" s="1" t="n">
        <v>0.08</v>
      </c>
      <c r="S256" s="1" t="n">
        <v>6.2</v>
      </c>
    </row>
    <row r="257" customFormat="false" ht="15" hidden="false" customHeight="true" outlineLevel="0" collapsed="false">
      <c r="A257" s="1" t="n">
        <v>256</v>
      </c>
      <c r="B257" s="22" t="s">
        <v>766</v>
      </c>
      <c r="C257" s="22" t="s">
        <v>767</v>
      </c>
      <c r="D257" s="22" t="s">
        <v>807</v>
      </c>
      <c r="E257" s="22" t="s">
        <v>114</v>
      </c>
      <c r="Q257" s="1" t="n">
        <v>12.4</v>
      </c>
      <c r="R257" s="1" t="n">
        <v>0.44</v>
      </c>
      <c r="S257" s="1" t="n">
        <v>3.4</v>
      </c>
      <c r="T257" s="1" t="n">
        <v>28.2</v>
      </c>
    </row>
    <row r="258" customFormat="false" ht="15" hidden="false" customHeight="true" outlineLevel="0" collapsed="false">
      <c r="A258" s="1" t="n">
        <v>257</v>
      </c>
      <c r="B258" s="22" t="s">
        <v>766</v>
      </c>
      <c r="C258" s="22" t="s">
        <v>767</v>
      </c>
      <c r="D258" s="22" t="s">
        <v>808</v>
      </c>
      <c r="E258" s="22" t="s">
        <v>114</v>
      </c>
      <c r="Q258" s="1" t="n">
        <v>10.8</v>
      </c>
      <c r="R258" s="1" t="n">
        <v>0.39</v>
      </c>
      <c r="S258" s="1" t="n">
        <v>3.8</v>
      </c>
      <c r="T258" s="1" t="n">
        <v>27.7</v>
      </c>
    </row>
    <row r="259" customFormat="false" ht="16.5" hidden="false" customHeight="true" outlineLevel="0" collapsed="false">
      <c r="A259" s="1" t="n">
        <v>258</v>
      </c>
      <c r="B259" s="22" t="s">
        <v>766</v>
      </c>
      <c r="C259" s="22" t="s">
        <v>767</v>
      </c>
      <c r="D259" s="22" t="s">
        <v>809</v>
      </c>
      <c r="E259" s="22" t="s">
        <v>403</v>
      </c>
      <c r="Q259" s="1" t="n">
        <v>8.65</v>
      </c>
      <c r="R259" s="1" t="n">
        <v>0.4</v>
      </c>
      <c r="S259" s="1" t="n">
        <v>3.8</v>
      </c>
      <c r="T259" s="1" t="n">
        <v>21.6</v>
      </c>
    </row>
    <row r="260" customFormat="false" ht="15" hidden="false" customHeight="true" outlineLevel="0" collapsed="false">
      <c r="A260" s="1" t="n">
        <v>259</v>
      </c>
      <c r="B260" s="22" t="s">
        <v>766</v>
      </c>
      <c r="C260" s="22" t="s">
        <v>767</v>
      </c>
      <c r="D260" s="22" t="s">
        <v>810</v>
      </c>
      <c r="E260" s="22" t="s">
        <v>772</v>
      </c>
      <c r="Q260" s="1" t="n">
        <v>9.2</v>
      </c>
      <c r="R260" s="1" t="n">
        <v>0.1</v>
      </c>
      <c r="S260" s="1" t="n">
        <v>4.2</v>
      </c>
      <c r="T260" s="1" t="n">
        <v>92</v>
      </c>
    </row>
    <row r="261" customFormat="false" ht="15" hidden="false" customHeight="true" outlineLevel="0" collapsed="false">
      <c r="A261" s="1" t="n">
        <v>260</v>
      </c>
      <c r="B261" s="22" t="s">
        <v>766</v>
      </c>
      <c r="C261" s="22" t="s">
        <v>767</v>
      </c>
      <c r="D261" s="22" t="s">
        <v>811</v>
      </c>
      <c r="E261" s="22" t="s">
        <v>372</v>
      </c>
      <c r="Q261" s="1" t="n">
        <v>15</v>
      </c>
      <c r="R261" s="1" t="n">
        <v>0.63</v>
      </c>
      <c r="S261" s="1" t="n">
        <v>3.94</v>
      </c>
      <c r="T261" s="1" t="n">
        <v>23.8</v>
      </c>
    </row>
    <row r="262" customFormat="false" ht="15" hidden="false" customHeight="true" outlineLevel="0" collapsed="false">
      <c r="A262" s="1" t="n">
        <v>261</v>
      </c>
      <c r="B262" s="22" t="s">
        <v>766</v>
      </c>
      <c r="C262" s="22" t="s">
        <v>767</v>
      </c>
      <c r="D262" s="22" t="s">
        <v>812</v>
      </c>
      <c r="E262" s="22" t="s">
        <v>114</v>
      </c>
      <c r="Q262" s="1" t="n">
        <v>12.2</v>
      </c>
      <c r="R262" s="1" t="n">
        <v>0.21</v>
      </c>
      <c r="S262" s="1" t="n">
        <v>3.6</v>
      </c>
      <c r="T262" s="1" t="n">
        <v>58.1</v>
      </c>
    </row>
    <row r="263" customFormat="false" ht="15" hidden="false" customHeight="true" outlineLevel="0" collapsed="false">
      <c r="A263" s="1" t="n">
        <v>262</v>
      </c>
      <c r="B263" s="22" t="s">
        <v>766</v>
      </c>
      <c r="C263" s="22" t="s">
        <v>767</v>
      </c>
      <c r="D263" s="22" t="s">
        <v>813</v>
      </c>
      <c r="E263" s="22" t="s">
        <v>814</v>
      </c>
      <c r="Q263" s="1" t="n">
        <v>5.8</v>
      </c>
      <c r="S263" s="1" t="n">
        <v>5.9</v>
      </c>
    </row>
    <row r="264" customFormat="false" ht="16.5" hidden="false" customHeight="true" outlineLevel="0" collapsed="false">
      <c r="A264" s="1" t="n">
        <v>263</v>
      </c>
      <c r="B264" s="22" t="s">
        <v>766</v>
      </c>
      <c r="C264" s="22" t="s">
        <v>767</v>
      </c>
      <c r="D264" s="22" t="s">
        <v>815</v>
      </c>
      <c r="E264" s="22" t="s">
        <v>372</v>
      </c>
      <c r="Q264" s="1" t="n">
        <v>13.2</v>
      </c>
      <c r="R264" s="1" t="n">
        <v>0.64</v>
      </c>
      <c r="S264" s="1" t="n">
        <v>3.65</v>
      </c>
      <c r="T264" s="1" t="n">
        <v>20.6</v>
      </c>
    </row>
    <row r="265" customFormat="false" ht="15" hidden="false" customHeight="true" outlineLevel="0" collapsed="false">
      <c r="A265" s="1" t="n">
        <v>264</v>
      </c>
      <c r="B265" s="22" t="s">
        <v>766</v>
      </c>
      <c r="C265" s="22" t="s">
        <v>767</v>
      </c>
      <c r="D265" s="22" t="s">
        <v>816</v>
      </c>
      <c r="E265" s="22" t="s">
        <v>114</v>
      </c>
      <c r="Q265" s="1" t="n">
        <v>7.6</v>
      </c>
      <c r="R265" s="1" t="n">
        <v>0.21</v>
      </c>
      <c r="S265" s="1" t="n">
        <v>3.6</v>
      </c>
      <c r="T265" s="1" t="n">
        <v>36.2</v>
      </c>
    </row>
    <row r="266" customFormat="false" ht="15" hidden="false" customHeight="true" outlineLevel="0" collapsed="false">
      <c r="A266" s="1" t="n">
        <v>265</v>
      </c>
      <c r="B266" s="22" t="s">
        <v>766</v>
      </c>
      <c r="C266" s="22" t="s">
        <v>767</v>
      </c>
      <c r="D266" s="22" t="s">
        <v>817</v>
      </c>
      <c r="E266" s="22" t="s">
        <v>814</v>
      </c>
      <c r="Q266" s="1" t="n">
        <v>63</v>
      </c>
      <c r="S266" s="1" t="n">
        <v>3.5</v>
      </c>
    </row>
    <row r="267" customFormat="false" ht="16.5" hidden="false" customHeight="true" outlineLevel="0" collapsed="false">
      <c r="A267" s="1" t="n">
        <v>266</v>
      </c>
      <c r="B267" s="22" t="s">
        <v>766</v>
      </c>
      <c r="C267" s="22" t="s">
        <v>767</v>
      </c>
      <c r="D267" s="22" t="s">
        <v>818</v>
      </c>
      <c r="E267" s="22" t="s">
        <v>114</v>
      </c>
      <c r="Q267" s="1" t="n">
        <v>8.2</v>
      </c>
      <c r="R267" s="1" t="n">
        <v>0.5</v>
      </c>
      <c r="S267" s="1" t="n">
        <v>3.4</v>
      </c>
      <c r="T267" s="1" t="n">
        <v>16.4</v>
      </c>
    </row>
    <row r="268" customFormat="false" ht="15" hidden="false" customHeight="true" outlineLevel="0" collapsed="false">
      <c r="A268" s="1" t="n">
        <v>267</v>
      </c>
      <c r="B268" s="22" t="s">
        <v>766</v>
      </c>
      <c r="C268" s="22" t="s">
        <v>767</v>
      </c>
      <c r="D268" s="22" t="s">
        <v>819</v>
      </c>
      <c r="E268" s="22" t="s">
        <v>772</v>
      </c>
      <c r="Q268" s="1" t="n">
        <v>9.3</v>
      </c>
      <c r="R268" s="1" t="n">
        <v>0.12</v>
      </c>
      <c r="S268" s="1" t="n">
        <v>4</v>
      </c>
      <c r="T268" s="1" t="n">
        <v>77.5</v>
      </c>
    </row>
    <row r="269" customFormat="false" ht="15" hidden="false" customHeight="true" outlineLevel="0" collapsed="false">
      <c r="A269" s="1" t="n">
        <v>268</v>
      </c>
      <c r="B269" s="22" t="s">
        <v>766</v>
      </c>
      <c r="C269" s="22" t="s">
        <v>767</v>
      </c>
      <c r="D269" s="22" t="s">
        <v>820</v>
      </c>
      <c r="E269" s="22" t="s">
        <v>814</v>
      </c>
      <c r="Q269" s="1" t="n">
        <v>60</v>
      </c>
      <c r="S269" s="1" t="n">
        <v>3.9</v>
      </c>
    </row>
    <row r="270" customFormat="false" ht="15" hidden="false" customHeight="true" outlineLevel="0" collapsed="false">
      <c r="A270" s="1" t="n">
        <v>269</v>
      </c>
      <c r="B270" s="22" t="s">
        <v>766</v>
      </c>
      <c r="C270" s="22" t="s">
        <v>767</v>
      </c>
      <c r="D270" s="22" t="s">
        <v>821</v>
      </c>
      <c r="E270" s="22" t="s">
        <v>114</v>
      </c>
      <c r="Q270" s="1" t="n">
        <v>11.8</v>
      </c>
      <c r="R270" s="1" t="n">
        <v>0.61</v>
      </c>
      <c r="S270" s="1" t="n">
        <v>3.7</v>
      </c>
      <c r="T270" s="1" t="n">
        <v>19.3</v>
      </c>
    </row>
    <row r="271" customFormat="false" ht="16.5" hidden="false" customHeight="true" outlineLevel="0" collapsed="false">
      <c r="A271" s="1" t="n">
        <v>270</v>
      </c>
      <c r="B271" s="22" t="s">
        <v>766</v>
      </c>
      <c r="C271" s="22" t="s">
        <v>767</v>
      </c>
      <c r="D271" s="22" t="s">
        <v>822</v>
      </c>
      <c r="E271" s="22" t="s">
        <v>782</v>
      </c>
      <c r="Q271" s="1" t="n">
        <v>14.3</v>
      </c>
      <c r="R271" s="1" t="n">
        <v>0.26</v>
      </c>
      <c r="S271" s="1" t="n">
        <v>3.4</v>
      </c>
      <c r="T271" s="1" t="n">
        <v>55</v>
      </c>
    </row>
    <row r="272" customFormat="false" ht="15" hidden="false" customHeight="true" outlineLevel="0" collapsed="false">
      <c r="A272" s="1" t="n">
        <v>271</v>
      </c>
      <c r="B272" s="22" t="s">
        <v>766</v>
      </c>
      <c r="C272" s="22" t="s">
        <v>767</v>
      </c>
      <c r="D272" s="22" t="s">
        <v>823</v>
      </c>
      <c r="E272" s="22" t="s">
        <v>824</v>
      </c>
      <c r="Q272" s="1" t="n">
        <v>62</v>
      </c>
      <c r="S272" s="1" t="n">
        <v>4.2</v>
      </c>
    </row>
    <row r="273" customFormat="false" ht="16.5" hidden="false" customHeight="true" outlineLevel="0" collapsed="false">
      <c r="A273" s="1" t="n">
        <v>272</v>
      </c>
      <c r="B273" s="22" t="s">
        <v>766</v>
      </c>
      <c r="C273" s="22" t="s">
        <v>767</v>
      </c>
      <c r="D273" s="22" t="s">
        <v>825</v>
      </c>
      <c r="E273" s="22" t="s">
        <v>403</v>
      </c>
      <c r="Q273" s="1" t="n">
        <v>12</v>
      </c>
      <c r="R273" s="1" t="n">
        <v>0.29</v>
      </c>
      <c r="S273" s="1" t="n">
        <v>3.3</v>
      </c>
      <c r="T273" s="1" t="n">
        <v>41.4</v>
      </c>
    </row>
    <row r="274" customFormat="false" ht="15" hidden="false" customHeight="true" outlineLevel="0" collapsed="false">
      <c r="A274" s="1" t="n">
        <v>273</v>
      </c>
      <c r="B274" s="22" t="s">
        <v>766</v>
      </c>
      <c r="C274" s="22" t="s">
        <v>767</v>
      </c>
      <c r="D274" s="22" t="s">
        <v>826</v>
      </c>
      <c r="E274" s="22" t="s">
        <v>107</v>
      </c>
      <c r="Q274" s="1" t="n">
        <v>8.85</v>
      </c>
      <c r="R274" s="1" t="n">
        <v>0.228</v>
      </c>
      <c r="S274" s="1" t="n">
        <v>3.8</v>
      </c>
      <c r="T274" s="1" t="n">
        <v>38.8</v>
      </c>
    </row>
    <row r="275" customFormat="false" ht="15" hidden="false" customHeight="true" outlineLevel="0" collapsed="false">
      <c r="A275" s="1" t="n">
        <v>274</v>
      </c>
      <c r="B275" s="22" t="s">
        <v>766</v>
      </c>
      <c r="C275" s="22" t="s">
        <v>767</v>
      </c>
      <c r="D275" s="22" t="s">
        <v>827</v>
      </c>
      <c r="E275" s="22" t="s">
        <v>828</v>
      </c>
      <c r="Q275" s="1" t="n">
        <v>64</v>
      </c>
      <c r="S275" s="1" t="n">
        <v>3.6</v>
      </c>
    </row>
    <row r="276" customFormat="false" ht="15" hidden="false" customHeight="true" outlineLevel="0" collapsed="false">
      <c r="A276" s="1" t="n">
        <v>275</v>
      </c>
      <c r="B276" s="22" t="s">
        <v>766</v>
      </c>
      <c r="C276" s="22" t="s">
        <v>767</v>
      </c>
      <c r="D276" s="22" t="s">
        <v>829</v>
      </c>
      <c r="E276" s="22" t="s">
        <v>782</v>
      </c>
      <c r="Q276" s="1" t="n">
        <v>12.1</v>
      </c>
      <c r="R276" s="1" t="n">
        <v>0.24</v>
      </c>
      <c r="S276" s="1" t="n">
        <v>3.5</v>
      </c>
      <c r="T276" s="1" t="n">
        <v>50.4</v>
      </c>
    </row>
    <row r="277" customFormat="false" ht="15" hidden="false" customHeight="true" outlineLevel="0" collapsed="false">
      <c r="A277" s="1" t="n">
        <v>276</v>
      </c>
      <c r="B277" s="22" t="s">
        <v>766</v>
      </c>
      <c r="C277" s="22" t="s">
        <v>767</v>
      </c>
      <c r="D277" s="22" t="s">
        <v>830</v>
      </c>
      <c r="E277" s="22" t="s">
        <v>828</v>
      </c>
      <c r="Q277" s="1" t="n">
        <v>64</v>
      </c>
      <c r="S277" s="1" t="n">
        <v>3.6</v>
      </c>
    </row>
    <row r="278" customFormat="false" ht="15" hidden="false" customHeight="true" outlineLevel="0" collapsed="false">
      <c r="A278" s="1" t="n">
        <v>277</v>
      </c>
      <c r="B278" s="22" t="s">
        <v>766</v>
      </c>
      <c r="C278" s="22" t="s">
        <v>767</v>
      </c>
      <c r="D278" s="22" t="s">
        <v>831</v>
      </c>
      <c r="E278" s="22" t="s">
        <v>107</v>
      </c>
      <c r="Q278" s="1" t="n">
        <v>17.51</v>
      </c>
      <c r="S278" s="1" t="n">
        <v>2.5</v>
      </c>
    </row>
    <row r="279" customFormat="false" ht="15" hidden="false" customHeight="true" outlineLevel="0" collapsed="false">
      <c r="A279" s="1" t="n">
        <v>278</v>
      </c>
      <c r="B279" s="22" t="s">
        <v>766</v>
      </c>
      <c r="C279" s="22" t="s">
        <v>767</v>
      </c>
      <c r="D279" s="22" t="s">
        <v>832</v>
      </c>
      <c r="E279" s="22" t="s">
        <v>361</v>
      </c>
      <c r="Q279" s="1" t="n">
        <v>10.3</v>
      </c>
      <c r="R279" s="1" t="n">
        <v>1.29</v>
      </c>
      <c r="S279" s="1" t="n">
        <v>3.55</v>
      </c>
      <c r="T279" s="1" t="n">
        <v>8</v>
      </c>
    </row>
    <row r="280" customFormat="false" ht="16.5" hidden="false" customHeight="true" outlineLevel="0" collapsed="false">
      <c r="A280" s="1" t="n">
        <v>279</v>
      </c>
      <c r="B280" s="22" t="s">
        <v>766</v>
      </c>
      <c r="C280" s="22" t="s">
        <v>767</v>
      </c>
      <c r="D280" s="22" t="s">
        <v>833</v>
      </c>
      <c r="E280" s="22" t="s">
        <v>782</v>
      </c>
      <c r="Q280" s="1" t="n">
        <v>15</v>
      </c>
      <c r="R280" s="1" t="n">
        <v>0.26</v>
      </c>
      <c r="S280" s="1" t="n">
        <v>3.1</v>
      </c>
      <c r="T280" s="1" t="n">
        <v>57.7</v>
      </c>
    </row>
    <row r="281" customFormat="false" ht="15" hidden="false" customHeight="true" outlineLevel="0" collapsed="false">
      <c r="A281" s="1" t="n">
        <v>280</v>
      </c>
      <c r="B281" s="22" t="s">
        <v>766</v>
      </c>
      <c r="C281" s="22" t="s">
        <v>767</v>
      </c>
      <c r="D281" s="22" t="s">
        <v>834</v>
      </c>
      <c r="E281" s="22" t="s">
        <v>133</v>
      </c>
      <c r="Q281" s="1" t="n">
        <v>11.5</v>
      </c>
      <c r="R281" s="1" t="n">
        <v>0.24</v>
      </c>
      <c r="S281" s="1" t="n">
        <v>4.3</v>
      </c>
      <c r="T281" s="1" t="n">
        <v>47.9</v>
      </c>
    </row>
    <row r="282" customFormat="false" ht="15" hidden="false" customHeight="true" outlineLevel="0" collapsed="false">
      <c r="A282" s="1" t="n">
        <v>281</v>
      </c>
      <c r="B282" s="22" t="s">
        <v>766</v>
      </c>
      <c r="C282" s="22" t="s">
        <v>767</v>
      </c>
      <c r="D282" s="22" t="s">
        <v>835</v>
      </c>
      <c r="E282" s="22" t="s">
        <v>133</v>
      </c>
      <c r="Q282" s="1" t="n">
        <v>11.5</v>
      </c>
      <c r="R282" s="1" t="n">
        <v>0.2</v>
      </c>
      <c r="S282" s="1" t="n">
        <v>4.3</v>
      </c>
      <c r="T282" s="1" t="n">
        <v>57.5</v>
      </c>
    </row>
    <row r="283" customFormat="false" ht="15" hidden="false" customHeight="true" outlineLevel="0" collapsed="false">
      <c r="A283" s="1" t="n">
        <v>282</v>
      </c>
      <c r="B283" s="22" t="s">
        <v>766</v>
      </c>
      <c r="C283" s="22" t="s">
        <v>767</v>
      </c>
      <c r="D283" s="22" t="s">
        <v>836</v>
      </c>
      <c r="E283" s="22" t="s">
        <v>114</v>
      </c>
      <c r="Q283" s="1" t="n">
        <v>12.2</v>
      </c>
      <c r="R283" s="1" t="n">
        <v>0.21</v>
      </c>
      <c r="S283" s="1" t="n">
        <v>3.6</v>
      </c>
      <c r="T283" s="1" t="n">
        <v>58.1</v>
      </c>
    </row>
    <row r="284" customFormat="false" ht="15" hidden="false" customHeight="true" outlineLevel="0" collapsed="false">
      <c r="A284" s="1" t="n">
        <v>283</v>
      </c>
      <c r="B284" s="22" t="s">
        <v>766</v>
      </c>
      <c r="C284" s="22" t="s">
        <v>767</v>
      </c>
      <c r="D284" s="22" t="s">
        <v>837</v>
      </c>
      <c r="E284" s="22" t="s">
        <v>133</v>
      </c>
      <c r="Q284" s="1" t="n">
        <v>11.5</v>
      </c>
      <c r="R284" s="1" t="n">
        <v>0.3</v>
      </c>
      <c r="S284" s="1" t="n">
        <v>4.3</v>
      </c>
      <c r="T284" s="1" t="n">
        <v>38.3</v>
      </c>
    </row>
    <row r="285" customFormat="false" ht="15" hidden="false" customHeight="true" outlineLevel="0" collapsed="false">
      <c r="A285" s="1" t="n">
        <v>284</v>
      </c>
      <c r="B285" s="22" t="s">
        <v>766</v>
      </c>
      <c r="C285" s="22" t="s">
        <v>767</v>
      </c>
      <c r="D285" s="22" t="s">
        <v>816</v>
      </c>
      <c r="E285" s="22" t="s">
        <v>114</v>
      </c>
      <c r="Q285" s="1" t="n">
        <v>7.6</v>
      </c>
      <c r="R285" s="1" t="n">
        <v>0.21</v>
      </c>
      <c r="S285" s="1" t="n">
        <v>3.6</v>
      </c>
      <c r="T285" s="1" t="n">
        <v>36.2</v>
      </c>
    </row>
    <row r="286" customFormat="false" ht="16.5" hidden="false" customHeight="true" outlineLevel="0" collapsed="false">
      <c r="A286" s="1" t="n">
        <v>285</v>
      </c>
      <c r="B286" s="22" t="s">
        <v>766</v>
      </c>
      <c r="C286" s="22" t="s">
        <v>767</v>
      </c>
      <c r="D286" s="22" t="s">
        <v>838</v>
      </c>
      <c r="E286" s="22" t="s">
        <v>107</v>
      </c>
      <c r="Q286" s="1" t="n">
        <v>11.66</v>
      </c>
      <c r="R286" s="1" t="n">
        <v>0.472</v>
      </c>
      <c r="S286" s="1" t="n">
        <v>2.8</v>
      </c>
      <c r="T286" s="1" t="n">
        <v>24.7</v>
      </c>
    </row>
    <row r="287" customFormat="false" ht="15" hidden="false" customHeight="true" outlineLevel="0" collapsed="false">
      <c r="A287" s="1" t="n">
        <v>286</v>
      </c>
      <c r="B287" s="22" t="s">
        <v>766</v>
      </c>
      <c r="C287" s="22" t="s">
        <v>767</v>
      </c>
      <c r="D287" s="22" t="s">
        <v>819</v>
      </c>
      <c r="E287" s="22" t="s">
        <v>772</v>
      </c>
      <c r="Q287" s="1" t="n">
        <v>9.3</v>
      </c>
      <c r="R287" s="1" t="n">
        <v>0.12</v>
      </c>
      <c r="S287" s="1" t="n">
        <v>4</v>
      </c>
      <c r="T287" s="1" t="n">
        <v>77.5</v>
      </c>
    </row>
    <row r="288" customFormat="false" ht="15" hidden="false" customHeight="true" outlineLevel="0" collapsed="false">
      <c r="A288" s="1" t="n">
        <v>287</v>
      </c>
      <c r="B288" s="22" t="s">
        <v>766</v>
      </c>
      <c r="C288" s="22" t="s">
        <v>767</v>
      </c>
      <c r="D288" s="22" t="s">
        <v>839</v>
      </c>
      <c r="E288" s="22" t="s">
        <v>107</v>
      </c>
      <c r="Q288" s="1" t="n">
        <v>13.71</v>
      </c>
      <c r="S288" s="1" t="n">
        <v>3.9</v>
      </c>
    </row>
    <row r="289" customFormat="false" ht="16.5" hidden="false" customHeight="true" outlineLevel="0" collapsed="false">
      <c r="A289" s="1" t="n">
        <v>288</v>
      </c>
      <c r="B289" s="22" t="s">
        <v>766</v>
      </c>
      <c r="C289" s="22" t="s">
        <v>767</v>
      </c>
      <c r="D289" s="22" t="s">
        <v>822</v>
      </c>
      <c r="E289" s="22" t="s">
        <v>782</v>
      </c>
      <c r="Q289" s="1" t="n">
        <v>14.3</v>
      </c>
      <c r="R289" s="1" t="n">
        <v>0.26</v>
      </c>
      <c r="S289" s="1" t="n">
        <v>3.4</v>
      </c>
      <c r="T289" s="1" t="n">
        <v>55</v>
      </c>
    </row>
    <row r="290" customFormat="false" ht="15" hidden="false" customHeight="true" outlineLevel="0" collapsed="false">
      <c r="A290" s="1" t="n">
        <v>289</v>
      </c>
      <c r="B290" s="22" t="s">
        <v>766</v>
      </c>
      <c r="C290" s="22" t="s">
        <v>767</v>
      </c>
      <c r="D290" s="22" t="s">
        <v>840</v>
      </c>
      <c r="E290" s="22" t="s">
        <v>137</v>
      </c>
      <c r="Q290" s="1" t="n">
        <v>27</v>
      </c>
      <c r="R290" s="1" t="n">
        <v>0.5</v>
      </c>
      <c r="T290" s="1" t="n">
        <v>54</v>
      </c>
    </row>
    <row r="291" customFormat="false" ht="15" hidden="false" customHeight="true" outlineLevel="0" collapsed="false">
      <c r="A291" s="1" t="n">
        <v>290</v>
      </c>
      <c r="B291" s="22" t="s">
        <v>766</v>
      </c>
      <c r="C291" s="22" t="s">
        <v>767</v>
      </c>
      <c r="D291" s="22" t="s">
        <v>826</v>
      </c>
      <c r="E291" s="22" t="s">
        <v>107</v>
      </c>
      <c r="Q291" s="1" t="n">
        <v>8.85</v>
      </c>
      <c r="R291" s="1" t="n">
        <v>0.228</v>
      </c>
      <c r="S291" s="1" t="n">
        <v>3.8</v>
      </c>
      <c r="T291" s="1" t="n">
        <v>38.8</v>
      </c>
    </row>
    <row r="292" customFormat="false" ht="15" hidden="false" customHeight="true" outlineLevel="0" collapsed="false">
      <c r="A292" s="1" t="n">
        <v>291</v>
      </c>
      <c r="B292" s="22" t="s">
        <v>766</v>
      </c>
      <c r="C292" s="22" t="s">
        <v>767</v>
      </c>
      <c r="D292" s="22" t="s">
        <v>841</v>
      </c>
      <c r="E292" s="22" t="s">
        <v>137</v>
      </c>
      <c r="Q292" s="1" t="n">
        <v>18</v>
      </c>
      <c r="R292" s="1" t="n">
        <v>0.4</v>
      </c>
      <c r="S292" s="1" t="n">
        <v>3.3</v>
      </c>
      <c r="T292" s="1" t="n">
        <v>45</v>
      </c>
    </row>
    <row r="293" customFormat="false" ht="16.5" hidden="false" customHeight="true" outlineLevel="0" collapsed="false">
      <c r="A293" s="1" t="n">
        <v>292</v>
      </c>
      <c r="B293" s="22" t="s">
        <v>842</v>
      </c>
      <c r="C293" s="22" t="s">
        <v>843</v>
      </c>
      <c r="D293" s="22" t="s">
        <v>844</v>
      </c>
      <c r="E293" s="22" t="s">
        <v>814</v>
      </c>
      <c r="Q293" s="1" t="n">
        <v>10</v>
      </c>
      <c r="R293" s="1" t="n">
        <v>0.35</v>
      </c>
      <c r="S293" s="1" t="n">
        <v>3.5</v>
      </c>
      <c r="T293" s="1" t="n">
        <v>28.6</v>
      </c>
    </row>
    <row r="294" customFormat="false" ht="16.5" hidden="false" customHeight="true" outlineLevel="0" collapsed="false">
      <c r="A294" s="1" t="n">
        <v>293</v>
      </c>
      <c r="B294" s="22" t="s">
        <v>842</v>
      </c>
      <c r="C294" s="22" t="s">
        <v>843</v>
      </c>
      <c r="D294" s="22" t="s">
        <v>845</v>
      </c>
      <c r="E294" s="22" t="s">
        <v>814</v>
      </c>
      <c r="Q294" s="1" t="n">
        <v>10</v>
      </c>
      <c r="R294" s="1" t="n">
        <v>0.2</v>
      </c>
      <c r="S294" s="1" t="n">
        <v>4.25</v>
      </c>
      <c r="T294" s="1" t="n">
        <v>50</v>
      </c>
    </row>
    <row r="295" customFormat="false" ht="16.5" hidden="false" customHeight="true" outlineLevel="0" collapsed="false">
      <c r="A295" s="1" t="n">
        <v>294</v>
      </c>
      <c r="B295" s="22" t="s">
        <v>842</v>
      </c>
      <c r="C295" s="22" t="s">
        <v>843</v>
      </c>
      <c r="D295" s="22" t="s">
        <v>846</v>
      </c>
      <c r="E295" s="1" t="s">
        <v>736</v>
      </c>
      <c r="Q295" s="1" t="n">
        <v>10</v>
      </c>
      <c r="R295" s="1" t="n">
        <v>0.35</v>
      </c>
      <c r="S295" s="1" t="n">
        <v>0.5</v>
      </c>
      <c r="T295" s="1" t="n">
        <v>28.6</v>
      </c>
    </row>
    <row r="296" customFormat="false" ht="16.5" hidden="false" customHeight="true" outlineLevel="0" collapsed="false">
      <c r="A296" s="1" t="n">
        <v>295</v>
      </c>
      <c r="B296" s="22" t="s">
        <v>842</v>
      </c>
      <c r="C296" s="22" t="s">
        <v>843</v>
      </c>
      <c r="D296" s="22" t="s">
        <v>847</v>
      </c>
      <c r="E296" s="1" t="s">
        <v>736</v>
      </c>
      <c r="Q296" s="1" t="n">
        <v>9</v>
      </c>
      <c r="R296" s="1" t="n">
        <v>0.2</v>
      </c>
      <c r="S296" s="1" t="n">
        <v>4.25</v>
      </c>
      <c r="T296" s="1" t="n">
        <v>45</v>
      </c>
    </row>
    <row r="297" customFormat="false" ht="16.5" hidden="false" customHeight="true" outlineLevel="0" collapsed="false">
      <c r="A297" s="1" t="n">
        <v>296</v>
      </c>
      <c r="B297" s="22" t="s">
        <v>842</v>
      </c>
      <c r="C297" s="22" t="s">
        <v>843</v>
      </c>
      <c r="D297" s="22" t="s">
        <v>848</v>
      </c>
      <c r="E297" s="1" t="s">
        <v>736</v>
      </c>
      <c r="Q297" s="1" t="n">
        <v>50</v>
      </c>
      <c r="S297" s="1" t="n">
        <v>5.25</v>
      </c>
    </row>
    <row r="298" customFormat="false" ht="16.5" hidden="false" customHeight="true" outlineLevel="0" collapsed="false">
      <c r="A298" s="1" t="n">
        <v>297</v>
      </c>
      <c r="B298" s="22" t="s">
        <v>842</v>
      </c>
      <c r="C298" s="22" t="s">
        <v>843</v>
      </c>
      <c r="D298" s="22" t="s">
        <v>849</v>
      </c>
      <c r="E298" s="1" t="s">
        <v>736</v>
      </c>
      <c r="Q298" s="1" t="n">
        <v>17</v>
      </c>
      <c r="R298" s="1" t="n">
        <v>0.35</v>
      </c>
      <c r="S298" s="1" t="n">
        <v>3.75</v>
      </c>
      <c r="T298" s="1" t="n">
        <v>48.6</v>
      </c>
    </row>
    <row r="299" customFormat="false" ht="16.5" hidden="false" customHeight="true" outlineLevel="0" collapsed="false">
      <c r="A299" s="1" t="n">
        <v>298</v>
      </c>
      <c r="B299" s="22" t="s">
        <v>842</v>
      </c>
      <c r="C299" s="22" t="s">
        <v>843</v>
      </c>
      <c r="D299" s="22" t="s">
        <v>850</v>
      </c>
      <c r="E299" s="22" t="s">
        <v>762</v>
      </c>
    </row>
    <row r="300" customFormat="false" ht="16.5" hidden="false" customHeight="true" outlineLevel="0" collapsed="false">
      <c r="A300" s="1" t="n">
        <v>299</v>
      </c>
      <c r="B300" s="22" t="s">
        <v>842</v>
      </c>
      <c r="C300" s="22" t="s">
        <v>843</v>
      </c>
      <c r="D300" s="22" t="s">
        <v>851</v>
      </c>
      <c r="E300" s="22" t="s">
        <v>764</v>
      </c>
    </row>
    <row r="301" customFormat="false" ht="16.5" hidden="false" customHeight="true" outlineLevel="0" collapsed="false">
      <c r="A301" s="1" t="n">
        <v>300</v>
      </c>
      <c r="B301" s="22" t="s">
        <v>842</v>
      </c>
      <c r="C301" s="22" t="s">
        <v>843</v>
      </c>
      <c r="D301" s="22" t="s">
        <v>852</v>
      </c>
      <c r="E301" s="22" t="s">
        <v>764</v>
      </c>
    </row>
    <row r="302" customFormat="false" ht="16.5" hidden="false" customHeight="true" outlineLevel="0" collapsed="false">
      <c r="A302" s="1" t="n">
        <v>301</v>
      </c>
      <c r="B302" s="22" t="s">
        <v>842</v>
      </c>
      <c r="C302" s="22" t="s">
        <v>843</v>
      </c>
      <c r="D302" s="22" t="s">
        <v>848</v>
      </c>
      <c r="E302" s="22" t="s">
        <v>764</v>
      </c>
    </row>
    <row r="303" customFormat="false" ht="16.5" hidden="false" customHeight="true" outlineLevel="0" collapsed="false">
      <c r="A303" s="1" t="n">
        <v>302</v>
      </c>
      <c r="B303" s="22" t="s">
        <v>842</v>
      </c>
      <c r="C303" s="22" t="s">
        <v>843</v>
      </c>
      <c r="D303" s="22" t="s">
        <v>853</v>
      </c>
      <c r="E303" s="22" t="s">
        <v>854</v>
      </c>
    </row>
    <row r="304" customFormat="false" ht="16.5" hidden="false" customHeight="true" outlineLevel="0" collapsed="false">
      <c r="A304" s="1" t="n">
        <v>303</v>
      </c>
      <c r="B304" s="22" t="s">
        <v>842</v>
      </c>
      <c r="C304" s="22" t="s">
        <v>843</v>
      </c>
      <c r="D304" s="22" t="s">
        <v>855</v>
      </c>
      <c r="E304" s="22" t="s">
        <v>856</v>
      </c>
    </row>
    <row r="305" customFormat="false" ht="16.5" hidden="false" customHeight="true" outlineLevel="0" collapsed="false">
      <c r="A305" s="1" t="n">
        <v>304</v>
      </c>
      <c r="B305" s="22" t="s">
        <v>842</v>
      </c>
      <c r="C305" s="22" t="s">
        <v>843</v>
      </c>
      <c r="D305" s="22" t="s">
        <v>857</v>
      </c>
      <c r="E305" s="22" t="s">
        <v>856</v>
      </c>
    </row>
    <row r="306" customFormat="false" ht="16.5" hidden="false" customHeight="true" outlineLevel="0" collapsed="false">
      <c r="A306" s="1" t="n">
        <v>305</v>
      </c>
      <c r="B306" s="22" t="s">
        <v>842</v>
      </c>
      <c r="C306" s="22" t="s">
        <v>843</v>
      </c>
      <c r="D306" s="22" t="s">
        <v>858</v>
      </c>
      <c r="E306" s="22" t="s">
        <v>745</v>
      </c>
    </row>
    <row r="307" customFormat="false" ht="16.5" hidden="false" customHeight="true" outlineLevel="0" collapsed="false">
      <c r="A307" s="1" t="n">
        <v>306</v>
      </c>
      <c r="B307" s="22" t="s">
        <v>842</v>
      </c>
      <c r="C307" s="22" t="s">
        <v>843</v>
      </c>
      <c r="D307" s="22" t="s">
        <v>859</v>
      </c>
      <c r="E307" s="22" t="s">
        <v>745</v>
      </c>
    </row>
    <row r="308" customFormat="false" ht="16.5" hidden="false" customHeight="true" outlineLevel="0" collapsed="false">
      <c r="A308" s="1" t="n">
        <v>307</v>
      </c>
      <c r="B308" s="22" t="s">
        <v>842</v>
      </c>
      <c r="C308" s="22" t="s">
        <v>843</v>
      </c>
      <c r="D308" s="22" t="s">
        <v>860</v>
      </c>
      <c r="E308" s="22" t="s">
        <v>745</v>
      </c>
    </row>
    <row r="309" customFormat="false" ht="16.5" hidden="false" customHeight="true" outlineLevel="0" collapsed="false">
      <c r="A309" s="1" t="n">
        <v>308</v>
      </c>
      <c r="B309" s="22" t="s">
        <v>842</v>
      </c>
      <c r="C309" s="22" t="s">
        <v>843</v>
      </c>
      <c r="D309" s="22" t="s">
        <v>849</v>
      </c>
      <c r="E309" s="22" t="s">
        <v>745</v>
      </c>
    </row>
    <row r="310" customFormat="false" ht="16.5" hidden="false" customHeight="true" outlineLevel="0" collapsed="false">
      <c r="A310" s="1" t="n">
        <v>309</v>
      </c>
      <c r="B310" s="22" t="s">
        <v>842</v>
      </c>
      <c r="C310" s="22" t="s">
        <v>843</v>
      </c>
      <c r="D310" s="22" t="s">
        <v>861</v>
      </c>
      <c r="E310" s="22" t="s">
        <v>750</v>
      </c>
    </row>
    <row r="311" customFormat="false" ht="16.5" hidden="false" customHeight="true" outlineLevel="0" collapsed="false">
      <c r="A311" s="1" t="n">
        <v>310</v>
      </c>
      <c r="B311" s="22" t="s">
        <v>842</v>
      </c>
      <c r="C311" s="22" t="s">
        <v>843</v>
      </c>
      <c r="D311" s="22" t="s">
        <v>862</v>
      </c>
      <c r="E311" s="22" t="s">
        <v>750</v>
      </c>
    </row>
    <row r="312" customFormat="false" ht="16.5" hidden="false" customHeight="true" outlineLevel="0" collapsed="false">
      <c r="A312" s="1" t="n">
        <v>311</v>
      </c>
      <c r="B312" s="22" t="s">
        <v>842</v>
      </c>
      <c r="C312" s="22" t="s">
        <v>843</v>
      </c>
      <c r="D312" s="22" t="s">
        <v>863</v>
      </c>
      <c r="E312" s="22" t="s">
        <v>750</v>
      </c>
    </row>
    <row r="313" customFormat="false" ht="16.5" hidden="false" customHeight="true" outlineLevel="0" collapsed="false">
      <c r="A313" s="1" t="n">
        <v>312</v>
      </c>
      <c r="B313" s="22" t="s">
        <v>842</v>
      </c>
      <c r="C313" s="22" t="s">
        <v>843</v>
      </c>
      <c r="D313" s="22" t="s">
        <v>864</v>
      </c>
      <c r="E313" s="22" t="s">
        <v>750</v>
      </c>
    </row>
    <row r="314" customFormat="false" ht="16.5" hidden="false" customHeight="true" outlineLevel="0" collapsed="false">
      <c r="A314" s="1" t="n">
        <v>313</v>
      </c>
      <c r="B314" s="22" t="s">
        <v>842</v>
      </c>
      <c r="C314" s="22" t="s">
        <v>843</v>
      </c>
      <c r="D314" s="22" t="s">
        <v>865</v>
      </c>
      <c r="E314" s="22" t="s">
        <v>750</v>
      </c>
    </row>
    <row r="315" customFormat="false" ht="16.5" hidden="false" customHeight="true" outlineLevel="0" collapsed="false">
      <c r="A315" s="1" t="n">
        <v>314</v>
      </c>
      <c r="B315" s="22" t="s">
        <v>842</v>
      </c>
      <c r="C315" s="22" t="s">
        <v>843</v>
      </c>
      <c r="D315" s="22" t="s">
        <v>866</v>
      </c>
      <c r="E315" s="22" t="s">
        <v>750</v>
      </c>
    </row>
    <row r="316" customFormat="false" ht="16.5" hidden="false" customHeight="true" outlineLevel="0" collapsed="false">
      <c r="A316" s="1" t="n">
        <v>315</v>
      </c>
      <c r="B316" s="22" t="s">
        <v>842</v>
      </c>
      <c r="C316" s="22" t="s">
        <v>843</v>
      </c>
      <c r="D316" s="22" t="s">
        <v>867</v>
      </c>
      <c r="E316" s="22" t="s">
        <v>750</v>
      </c>
    </row>
    <row r="317" customFormat="false" ht="16.5" hidden="false" customHeight="true" outlineLevel="0" collapsed="false">
      <c r="A317" s="1" t="n">
        <v>316</v>
      </c>
      <c r="B317" s="22" t="s">
        <v>842</v>
      </c>
      <c r="C317" s="22" t="s">
        <v>843</v>
      </c>
      <c r="D317" s="22" t="s">
        <v>868</v>
      </c>
      <c r="E317" s="22" t="s">
        <v>750</v>
      </c>
    </row>
    <row r="318" customFormat="false" ht="16.5" hidden="false" customHeight="true" outlineLevel="0" collapsed="false">
      <c r="A318" s="1" t="n">
        <v>317</v>
      </c>
      <c r="B318" s="22" t="s">
        <v>842</v>
      </c>
      <c r="C318" s="22" t="s">
        <v>843</v>
      </c>
      <c r="D318" s="1" t="s">
        <v>869</v>
      </c>
      <c r="E318" s="22" t="s">
        <v>750</v>
      </c>
    </row>
    <row r="319" customFormat="false" ht="16.5" hidden="false" customHeight="true" outlineLevel="0" collapsed="false">
      <c r="A319" s="1" t="n">
        <v>318</v>
      </c>
      <c r="B319" s="22" t="s">
        <v>842</v>
      </c>
      <c r="C319" s="22" t="s">
        <v>843</v>
      </c>
      <c r="D319" s="22" t="s">
        <v>870</v>
      </c>
      <c r="E319" s="22" t="s">
        <v>750</v>
      </c>
    </row>
    <row r="320" customFormat="false" ht="16.5" hidden="false" customHeight="true" outlineLevel="0" collapsed="false">
      <c r="A320" s="1" t="n">
        <v>319</v>
      </c>
      <c r="B320" s="22" t="s">
        <v>842</v>
      </c>
      <c r="C320" s="22" t="s">
        <v>843</v>
      </c>
      <c r="D320" s="22" t="s">
        <v>871</v>
      </c>
      <c r="E320" s="22" t="s">
        <v>750</v>
      </c>
    </row>
    <row r="321" customFormat="false" ht="16.5" hidden="false" customHeight="true" outlineLevel="0" collapsed="false">
      <c r="A321" s="1" t="n">
        <v>320</v>
      </c>
      <c r="B321" s="22" t="s">
        <v>842</v>
      </c>
      <c r="C321" s="22" t="s">
        <v>843</v>
      </c>
      <c r="D321" s="22" t="s">
        <v>872</v>
      </c>
      <c r="E321" s="22" t="s">
        <v>750</v>
      </c>
    </row>
    <row r="322" customFormat="false" ht="16.5" hidden="false" customHeight="true" outlineLevel="0" collapsed="false">
      <c r="A322" s="1" t="n">
        <v>321</v>
      </c>
      <c r="B322" s="22" t="s">
        <v>842</v>
      </c>
      <c r="C322" s="22" t="s">
        <v>843</v>
      </c>
      <c r="D322" s="22" t="s">
        <v>873</v>
      </c>
      <c r="E322" s="22" t="s">
        <v>750</v>
      </c>
    </row>
  </sheetData>
  <autoFilter ref="A1:P1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7" min="5" style="1" width="8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1" min="10" style="1" width="14"/>
    <col collapsed="false" customWidth="true" hidden="false" outlineLevel="0" max="14" min="12" style="1" width="16"/>
    <col collapsed="false" customWidth="true" hidden="false" outlineLevel="0" max="15" min="15" style="1" width="22"/>
    <col collapsed="false" customWidth="true" hidden="false" outlineLevel="0" max="16" min="16" style="1" width="14"/>
  </cols>
  <sheetData>
    <row r="1" customFormat="false" ht="29.25" hidden="false" customHeight="true" outlineLevel="0" collapsed="false">
      <c r="A1" s="23" t="s">
        <v>0</v>
      </c>
      <c r="B1" s="24" t="s">
        <v>874</v>
      </c>
      <c r="C1" s="24" t="s">
        <v>875</v>
      </c>
      <c r="D1" s="24" t="s">
        <v>876</v>
      </c>
      <c r="E1" s="23" t="s">
        <v>877</v>
      </c>
      <c r="F1" s="23" t="s">
        <v>103</v>
      </c>
      <c r="G1" s="24" t="s">
        <v>102</v>
      </c>
      <c r="H1" s="24" t="s">
        <v>878</v>
      </c>
      <c r="I1" s="24" t="s">
        <v>879</v>
      </c>
      <c r="J1" s="24" t="s">
        <v>880</v>
      </c>
      <c r="K1" s="24" t="s">
        <v>881</v>
      </c>
      <c r="L1" s="24" t="s">
        <v>882</v>
      </c>
      <c r="M1" s="23" t="s">
        <v>883</v>
      </c>
      <c r="N1" s="23" t="s">
        <v>884</v>
      </c>
      <c r="O1" s="23" t="s">
        <v>885</v>
      </c>
      <c r="P1" s="23" t="s">
        <v>886</v>
      </c>
      <c r="Q1" s="24" t="s">
        <v>100</v>
      </c>
    </row>
    <row r="2" customFormat="false" ht="15" hidden="false" customHeight="true" outlineLevel="0" collapsed="false">
      <c r="A2" s="4" t="n">
        <v>1</v>
      </c>
      <c r="B2" s="5" t="s">
        <v>887</v>
      </c>
      <c r="C2" s="5" t="s">
        <v>888</v>
      </c>
      <c r="D2" s="5" t="s">
        <v>889</v>
      </c>
      <c r="E2" s="4" t="n">
        <v>65</v>
      </c>
      <c r="F2" s="4" t="n">
        <v>3.5</v>
      </c>
      <c r="G2" s="4" t="n">
        <v>4.5</v>
      </c>
      <c r="H2" s="1" t="n">
        <v>0</v>
      </c>
      <c r="I2" s="5" t="s">
        <v>890</v>
      </c>
      <c r="J2" s="5" t="s">
        <v>891</v>
      </c>
      <c r="K2" s="25" t="s">
        <v>892</v>
      </c>
      <c r="L2" s="4" t="n">
        <v>4500</v>
      </c>
      <c r="M2" s="4" t="n">
        <v>0.65</v>
      </c>
      <c r="N2" s="4" t="s">
        <v>893</v>
      </c>
      <c r="O2" s="4" t="n">
        <v>0.045</v>
      </c>
      <c r="P2" s="1" t="n">
        <v>0</v>
      </c>
      <c r="Q2" s="8" t="s">
        <v>894</v>
      </c>
    </row>
    <row r="3" customFormat="false" ht="15" hidden="false" customHeight="true" outlineLevel="0" collapsed="false">
      <c r="A3" s="6" t="n">
        <v>2</v>
      </c>
      <c r="B3" s="7" t="s">
        <v>887</v>
      </c>
      <c r="C3" s="7" t="s">
        <v>888</v>
      </c>
      <c r="D3" s="7" t="s">
        <v>895</v>
      </c>
      <c r="E3" s="6" t="n">
        <v>55</v>
      </c>
      <c r="F3" s="6" t="n">
        <v>3</v>
      </c>
      <c r="G3" s="6" t="n">
        <v>5</v>
      </c>
      <c r="H3" s="1" t="n">
        <v>0</v>
      </c>
      <c r="I3" s="7" t="s">
        <v>896</v>
      </c>
      <c r="J3" s="7" t="s">
        <v>891</v>
      </c>
      <c r="K3" s="26" t="s">
        <v>892</v>
      </c>
      <c r="L3" s="6" t="n">
        <v>5000</v>
      </c>
      <c r="M3" s="6" t="n">
        <v>0.55</v>
      </c>
      <c r="N3" s="6" t="s">
        <v>897</v>
      </c>
      <c r="O3" s="6" t="n">
        <v>0.05</v>
      </c>
      <c r="P3" s="1" t="n">
        <v>0</v>
      </c>
      <c r="Q3" s="9" t="s">
        <v>894</v>
      </c>
    </row>
    <row r="4" customFormat="false" ht="15" hidden="false" customHeight="true" outlineLevel="0" collapsed="false">
      <c r="A4" s="4" t="n">
        <v>3</v>
      </c>
      <c r="B4" s="5" t="s">
        <v>887</v>
      </c>
      <c r="C4" s="5" t="s">
        <v>888</v>
      </c>
      <c r="D4" s="5" t="s">
        <v>898</v>
      </c>
      <c r="E4" s="4" t="n">
        <v>45</v>
      </c>
      <c r="F4" s="4" t="n">
        <v>2.2</v>
      </c>
      <c r="G4" s="4" t="n">
        <v>6.5</v>
      </c>
      <c r="H4" s="1" t="n">
        <v>0</v>
      </c>
      <c r="I4" s="5" t="s">
        <v>899</v>
      </c>
      <c r="J4" s="5" t="s">
        <v>891</v>
      </c>
      <c r="K4" s="25" t="s">
        <v>892</v>
      </c>
      <c r="L4" s="4" t="n">
        <v>5500</v>
      </c>
      <c r="M4" s="4" t="n">
        <v>0.45</v>
      </c>
      <c r="N4" s="4" t="s">
        <v>900</v>
      </c>
      <c r="O4" s="4" t="n">
        <v>0.065</v>
      </c>
      <c r="P4" s="1" t="n">
        <v>0</v>
      </c>
      <c r="Q4" s="8" t="s">
        <v>901</v>
      </c>
    </row>
    <row r="5" customFormat="false" ht="15" hidden="false" customHeight="true" outlineLevel="0" collapsed="false">
      <c r="A5" s="6" t="n">
        <v>4</v>
      </c>
      <c r="B5" s="7" t="s">
        <v>887</v>
      </c>
      <c r="C5" s="7" t="s">
        <v>888</v>
      </c>
      <c r="D5" s="7" t="s">
        <v>902</v>
      </c>
      <c r="E5" s="6" t="n">
        <v>45</v>
      </c>
      <c r="F5" s="6" t="n">
        <v>2</v>
      </c>
      <c r="G5" s="6" t="n">
        <v>7</v>
      </c>
      <c r="H5" s="1" t="n">
        <v>0</v>
      </c>
      <c r="I5" s="7" t="s">
        <v>903</v>
      </c>
      <c r="J5" s="7" t="s">
        <v>891</v>
      </c>
      <c r="K5" s="26" t="s">
        <v>892</v>
      </c>
      <c r="L5" s="6" t="n">
        <v>6000</v>
      </c>
      <c r="M5" s="6" t="n">
        <v>0.45</v>
      </c>
      <c r="N5" s="6" t="s">
        <v>904</v>
      </c>
      <c r="O5" s="6" t="n">
        <v>0.07</v>
      </c>
      <c r="P5" s="1" t="n">
        <v>0</v>
      </c>
      <c r="Q5" s="9" t="s">
        <v>905</v>
      </c>
    </row>
    <row r="6" customFormat="false" ht="15" hidden="false" customHeight="true" outlineLevel="0" collapsed="false">
      <c r="A6" s="4" t="n">
        <v>5</v>
      </c>
      <c r="B6" s="5" t="s">
        <v>887</v>
      </c>
      <c r="C6" s="5" t="s">
        <v>888</v>
      </c>
      <c r="D6" s="5" t="s">
        <v>906</v>
      </c>
      <c r="E6" s="4" t="n">
        <v>60</v>
      </c>
      <c r="F6" s="4" t="n">
        <v>3.5</v>
      </c>
      <c r="G6" s="4" t="n">
        <v>4</v>
      </c>
      <c r="H6" s="1" t="n">
        <v>0</v>
      </c>
      <c r="I6" s="5" t="s">
        <v>907</v>
      </c>
      <c r="J6" s="5" t="s">
        <v>891</v>
      </c>
      <c r="K6" s="25" t="s">
        <v>892</v>
      </c>
      <c r="L6" s="4" t="n">
        <v>5000</v>
      </c>
      <c r="M6" s="4" t="n">
        <v>0.6</v>
      </c>
      <c r="N6" s="4" t="s">
        <v>893</v>
      </c>
      <c r="O6" s="4" t="n">
        <v>0.04</v>
      </c>
      <c r="P6" s="1" t="n">
        <v>0</v>
      </c>
      <c r="Q6" s="8" t="s">
        <v>905</v>
      </c>
    </row>
    <row r="7" customFormat="false" ht="15" hidden="false" customHeight="true" outlineLevel="0" collapsed="false">
      <c r="A7" s="6" t="n">
        <v>6</v>
      </c>
      <c r="B7" s="7" t="s">
        <v>887</v>
      </c>
      <c r="C7" s="7" t="s">
        <v>888</v>
      </c>
      <c r="D7" s="7" t="s">
        <v>908</v>
      </c>
      <c r="E7" s="6" t="n">
        <v>55</v>
      </c>
      <c r="F7" s="6" t="n">
        <v>2.8</v>
      </c>
      <c r="G7" s="6" t="n">
        <v>5.5</v>
      </c>
      <c r="H7" s="1" t="n">
        <v>0</v>
      </c>
      <c r="I7" s="7" t="s">
        <v>909</v>
      </c>
      <c r="J7" s="7" t="s">
        <v>891</v>
      </c>
      <c r="K7" s="26" t="s">
        <v>892</v>
      </c>
      <c r="L7" s="6" t="n">
        <v>8000</v>
      </c>
      <c r="M7" s="6" t="n">
        <v>0.55</v>
      </c>
      <c r="N7" s="6" t="s">
        <v>910</v>
      </c>
      <c r="O7" s="6" t="n">
        <v>0.055</v>
      </c>
      <c r="P7" s="1" t="n">
        <v>0</v>
      </c>
      <c r="Q7" s="7" t="s">
        <v>911</v>
      </c>
    </row>
    <row r="8" customFormat="false" ht="15" hidden="false" customHeight="true" outlineLevel="0" collapsed="false">
      <c r="A8" s="4" t="n">
        <v>7</v>
      </c>
      <c r="B8" s="5" t="s">
        <v>887</v>
      </c>
      <c r="C8" s="5" t="s">
        <v>888</v>
      </c>
      <c r="D8" s="5" t="s">
        <v>912</v>
      </c>
      <c r="E8" s="4" t="n">
        <v>50</v>
      </c>
      <c r="F8" s="4" t="n">
        <v>3.2</v>
      </c>
      <c r="G8" s="4" t="n">
        <v>4.5</v>
      </c>
      <c r="H8" s="1" t="n">
        <v>0</v>
      </c>
      <c r="I8" s="5" t="s">
        <v>913</v>
      </c>
      <c r="J8" s="5" t="s">
        <v>891</v>
      </c>
      <c r="K8" s="25" t="s">
        <v>892</v>
      </c>
      <c r="L8" s="4" t="n">
        <v>9000</v>
      </c>
      <c r="M8" s="4" t="n">
        <v>0.5</v>
      </c>
      <c r="N8" s="4" t="s">
        <v>914</v>
      </c>
      <c r="O8" s="4" t="n">
        <v>0.045</v>
      </c>
      <c r="P8" s="1" t="n">
        <v>0</v>
      </c>
      <c r="Q8" s="8"/>
    </row>
    <row r="9" customFormat="false" ht="15" hidden="false" customHeight="true" outlineLevel="0" collapsed="false">
      <c r="A9" s="6" t="n">
        <v>8</v>
      </c>
      <c r="B9" s="7" t="s">
        <v>887</v>
      </c>
      <c r="C9" s="7" t="s">
        <v>888</v>
      </c>
      <c r="D9" s="7" t="s">
        <v>915</v>
      </c>
      <c r="E9" s="6" t="n">
        <v>60</v>
      </c>
      <c r="F9" s="6" t="n">
        <v>3.6</v>
      </c>
      <c r="G9" s="6" t="n">
        <v>3.8</v>
      </c>
      <c r="H9" s="1" t="n">
        <v>0</v>
      </c>
      <c r="I9" s="7" t="s">
        <v>916</v>
      </c>
      <c r="J9" s="7" t="s">
        <v>891</v>
      </c>
      <c r="K9" s="26" t="s">
        <v>892</v>
      </c>
      <c r="L9" s="6" t="n">
        <v>5500</v>
      </c>
      <c r="M9" s="6" t="n">
        <v>0.6</v>
      </c>
      <c r="N9" s="6" t="s">
        <v>917</v>
      </c>
      <c r="O9" s="6" t="n">
        <v>0.038</v>
      </c>
      <c r="P9" s="1" t="n">
        <v>0</v>
      </c>
      <c r="Q9" s="9"/>
    </row>
    <row r="10" customFormat="false" ht="15" hidden="false" customHeight="true" outlineLevel="0" collapsed="false">
      <c r="A10" s="4" t="n">
        <v>9</v>
      </c>
      <c r="B10" s="5" t="s">
        <v>887</v>
      </c>
      <c r="C10" s="5" t="s">
        <v>918</v>
      </c>
      <c r="D10" s="5" t="s">
        <v>919</v>
      </c>
      <c r="E10" s="4" t="n">
        <v>65</v>
      </c>
      <c r="F10" s="4" t="n">
        <v>4</v>
      </c>
      <c r="G10" s="4" t="n">
        <v>2</v>
      </c>
      <c r="H10" s="1" t="n">
        <v>0</v>
      </c>
      <c r="I10" s="5" t="s">
        <v>920</v>
      </c>
      <c r="J10" s="5" t="s">
        <v>891</v>
      </c>
      <c r="K10" s="25" t="s">
        <v>892</v>
      </c>
      <c r="L10" s="4" t="n">
        <v>5500</v>
      </c>
      <c r="M10" s="4" t="n">
        <v>0.65</v>
      </c>
      <c r="N10" s="4" t="s">
        <v>921</v>
      </c>
      <c r="O10" s="4" t="n">
        <v>0.02</v>
      </c>
      <c r="P10" s="1" t="n">
        <v>0</v>
      </c>
      <c r="Q10" s="8" t="s">
        <v>894</v>
      </c>
    </row>
    <row r="11" customFormat="false" ht="15" hidden="false" customHeight="true" outlineLevel="0" collapsed="false">
      <c r="A11" s="6" t="n">
        <v>10</v>
      </c>
      <c r="B11" s="7" t="s">
        <v>887</v>
      </c>
      <c r="C11" s="7" t="s">
        <v>918</v>
      </c>
      <c r="D11" s="7" t="s">
        <v>922</v>
      </c>
      <c r="E11" s="6" t="n">
        <v>62</v>
      </c>
      <c r="F11" s="6" t="n">
        <v>3.5</v>
      </c>
      <c r="G11" s="6" t="n">
        <v>3.5</v>
      </c>
      <c r="H11" s="1" t="n">
        <v>0</v>
      </c>
      <c r="I11" s="7" t="s">
        <v>923</v>
      </c>
      <c r="J11" s="7" t="s">
        <v>891</v>
      </c>
      <c r="K11" s="26" t="s">
        <v>892</v>
      </c>
      <c r="L11" s="6" t="n">
        <v>4000</v>
      </c>
      <c r="M11" s="6" t="n">
        <v>0.62</v>
      </c>
      <c r="N11" s="6" t="s">
        <v>893</v>
      </c>
      <c r="O11" s="6" t="n">
        <v>0.035</v>
      </c>
      <c r="P11" s="1" t="n">
        <v>0</v>
      </c>
      <c r="Q11" s="9" t="s">
        <v>894</v>
      </c>
    </row>
    <row r="12" customFormat="false" ht="15" hidden="false" customHeight="true" outlineLevel="0" collapsed="false">
      <c r="A12" s="4" t="n">
        <v>11</v>
      </c>
      <c r="B12" s="5" t="s">
        <v>887</v>
      </c>
      <c r="C12" s="5" t="s">
        <v>918</v>
      </c>
      <c r="D12" s="5" t="s">
        <v>924</v>
      </c>
      <c r="E12" s="4" t="n">
        <v>50</v>
      </c>
      <c r="F12" s="4" t="n">
        <v>2.8</v>
      </c>
      <c r="G12" s="4" t="n">
        <v>4.5</v>
      </c>
      <c r="H12" s="1" t="n">
        <v>0</v>
      </c>
      <c r="I12" s="5" t="s">
        <v>925</v>
      </c>
      <c r="J12" s="5" t="s">
        <v>891</v>
      </c>
      <c r="K12" s="25" t="s">
        <v>892</v>
      </c>
      <c r="L12" s="4" t="n">
        <v>9000</v>
      </c>
      <c r="M12" s="4" t="n">
        <v>0.5</v>
      </c>
      <c r="N12" s="4" t="s">
        <v>910</v>
      </c>
      <c r="O12" s="4" t="n">
        <v>0.045</v>
      </c>
      <c r="P12" s="1" t="n">
        <v>0</v>
      </c>
      <c r="Q12" s="5" t="s">
        <v>926</v>
      </c>
    </row>
    <row r="13" customFormat="false" ht="15" hidden="false" customHeight="true" outlineLevel="0" collapsed="false">
      <c r="A13" s="6" t="n">
        <v>12</v>
      </c>
      <c r="B13" s="7" t="s">
        <v>887</v>
      </c>
      <c r="C13" s="7" t="s">
        <v>918</v>
      </c>
      <c r="D13" s="7" t="s">
        <v>927</v>
      </c>
      <c r="E13" s="6" t="n">
        <v>40</v>
      </c>
      <c r="F13" s="6" t="n">
        <v>4</v>
      </c>
      <c r="G13" s="6" t="n">
        <v>1.5</v>
      </c>
      <c r="H13" s="1" t="n">
        <v>0</v>
      </c>
      <c r="I13" s="7" t="s">
        <v>928</v>
      </c>
      <c r="J13" s="7" t="s">
        <v>891</v>
      </c>
      <c r="K13" s="26" t="s">
        <v>892</v>
      </c>
      <c r="L13" s="6" t="n">
        <v>8000</v>
      </c>
      <c r="M13" s="6" t="n">
        <v>0.4</v>
      </c>
      <c r="N13" s="6" t="s">
        <v>921</v>
      </c>
      <c r="O13" s="6" t="n">
        <v>0.015</v>
      </c>
      <c r="P13" s="1" t="n">
        <v>0</v>
      </c>
      <c r="Q13" s="9"/>
    </row>
    <row r="14" customFormat="false" ht="15" hidden="false" customHeight="true" outlineLevel="0" collapsed="false">
      <c r="A14" s="4" t="n">
        <v>13</v>
      </c>
      <c r="B14" s="5" t="s">
        <v>887</v>
      </c>
      <c r="C14" s="5" t="s">
        <v>918</v>
      </c>
      <c r="D14" s="5" t="s">
        <v>929</v>
      </c>
      <c r="E14" s="4" t="n">
        <v>60</v>
      </c>
      <c r="F14" s="4" t="n">
        <v>4.5</v>
      </c>
      <c r="G14" s="4" t="n">
        <v>1.8</v>
      </c>
      <c r="H14" s="1" t="n">
        <v>0</v>
      </c>
      <c r="I14" s="5" t="s">
        <v>930</v>
      </c>
      <c r="J14" s="5" t="s">
        <v>891</v>
      </c>
      <c r="K14" s="25" t="s">
        <v>892</v>
      </c>
      <c r="L14" s="4" t="n">
        <v>10000</v>
      </c>
      <c r="M14" s="4" t="n">
        <v>0.6</v>
      </c>
      <c r="N14" s="4" t="s">
        <v>931</v>
      </c>
      <c r="O14" s="4" t="n">
        <v>0.018</v>
      </c>
      <c r="P14" s="1" t="n">
        <v>0</v>
      </c>
      <c r="Q14" s="8"/>
    </row>
    <row r="15" customFormat="false" ht="15" hidden="false" customHeight="true" outlineLevel="0" collapsed="false">
      <c r="A15" s="6" t="n">
        <v>14</v>
      </c>
      <c r="B15" s="7" t="s">
        <v>887</v>
      </c>
      <c r="C15" s="7" t="s">
        <v>918</v>
      </c>
      <c r="D15" s="7" t="s">
        <v>932</v>
      </c>
      <c r="E15" s="6" t="n">
        <v>25</v>
      </c>
      <c r="F15" s="6" t="n">
        <v>5</v>
      </c>
      <c r="G15" s="6" t="n">
        <v>0.5</v>
      </c>
      <c r="H15" s="1" t="n">
        <v>0</v>
      </c>
      <c r="I15" s="7" t="s">
        <v>933</v>
      </c>
      <c r="J15" s="7" t="s">
        <v>891</v>
      </c>
      <c r="K15" s="26" t="s">
        <v>892</v>
      </c>
      <c r="L15" s="6" t="n">
        <v>6000</v>
      </c>
      <c r="M15" s="6" t="n">
        <v>0.25</v>
      </c>
      <c r="N15" s="6" t="s">
        <v>934</v>
      </c>
      <c r="O15" s="6" t="n">
        <v>0.005</v>
      </c>
      <c r="P15" s="1" t="n">
        <v>0</v>
      </c>
      <c r="Q15" s="9" t="s">
        <v>935</v>
      </c>
    </row>
    <row r="16" customFormat="false" ht="15" hidden="false" customHeight="true" outlineLevel="0" collapsed="false">
      <c r="A16" s="4" t="n">
        <v>15</v>
      </c>
      <c r="B16" s="5" t="s">
        <v>887</v>
      </c>
      <c r="C16" s="5" t="s">
        <v>918</v>
      </c>
      <c r="D16" s="5" t="s">
        <v>936</v>
      </c>
      <c r="E16" s="4" t="n">
        <v>22</v>
      </c>
      <c r="F16" s="4" t="n">
        <v>4.5</v>
      </c>
      <c r="G16" s="4" t="n">
        <v>0.8</v>
      </c>
      <c r="H16" s="1" t="n">
        <v>0</v>
      </c>
      <c r="I16" s="5" t="s">
        <v>937</v>
      </c>
      <c r="J16" s="5" t="s">
        <v>938</v>
      </c>
      <c r="K16" s="25" t="s">
        <v>939</v>
      </c>
      <c r="L16" s="4" t="n">
        <v>3500</v>
      </c>
      <c r="M16" s="4" t="n">
        <v>0.22</v>
      </c>
      <c r="N16" s="4" t="s">
        <v>931</v>
      </c>
      <c r="O16" s="4" t="n">
        <v>0.008</v>
      </c>
      <c r="P16" s="1" t="n">
        <v>0</v>
      </c>
      <c r="Q16" s="5" t="s">
        <v>940</v>
      </c>
    </row>
    <row r="17" customFormat="false" ht="15" hidden="false" customHeight="true" outlineLevel="0" collapsed="false">
      <c r="A17" s="6" t="n">
        <v>16</v>
      </c>
      <c r="B17" s="7" t="s">
        <v>887</v>
      </c>
      <c r="C17" s="7" t="s">
        <v>941</v>
      </c>
      <c r="D17" s="7" t="s">
        <v>942</v>
      </c>
      <c r="E17" s="6" t="n">
        <v>70</v>
      </c>
      <c r="F17" s="6" t="n">
        <v>3.5</v>
      </c>
      <c r="G17" s="6" t="n">
        <v>3.5</v>
      </c>
      <c r="H17" s="1" t="n">
        <v>0</v>
      </c>
      <c r="I17" s="7" t="s">
        <v>943</v>
      </c>
      <c r="J17" s="7" t="s">
        <v>891</v>
      </c>
      <c r="K17" s="26" t="s">
        <v>892</v>
      </c>
      <c r="L17" s="6" t="n">
        <v>3500</v>
      </c>
      <c r="M17" s="6" t="n">
        <v>0.7</v>
      </c>
      <c r="N17" s="6" t="s">
        <v>893</v>
      </c>
      <c r="O17" s="6" t="n">
        <v>0.035</v>
      </c>
      <c r="P17" s="1" t="n">
        <v>0</v>
      </c>
      <c r="Q17" s="9" t="s">
        <v>894</v>
      </c>
    </row>
    <row r="18" customFormat="false" ht="15" hidden="false" customHeight="true" outlineLevel="0" collapsed="false">
      <c r="A18" s="4" t="n">
        <v>17</v>
      </c>
      <c r="B18" s="5" t="s">
        <v>887</v>
      </c>
      <c r="C18" s="5" t="s">
        <v>941</v>
      </c>
      <c r="D18" s="5" t="s">
        <v>944</v>
      </c>
      <c r="E18" s="4" t="n">
        <v>65</v>
      </c>
      <c r="F18" s="4" t="n">
        <v>4.2</v>
      </c>
      <c r="G18" s="4" t="n">
        <v>2</v>
      </c>
      <c r="H18" s="1" t="n">
        <v>0</v>
      </c>
      <c r="I18" s="5" t="s">
        <v>945</v>
      </c>
      <c r="J18" s="5" t="s">
        <v>891</v>
      </c>
      <c r="K18" s="25" t="s">
        <v>892</v>
      </c>
      <c r="L18" s="4" t="n">
        <v>4500</v>
      </c>
      <c r="M18" s="4" t="n">
        <v>0.65</v>
      </c>
      <c r="N18" s="4" t="s">
        <v>946</v>
      </c>
      <c r="O18" s="4" t="n">
        <v>0.02</v>
      </c>
      <c r="P18" s="1" t="n">
        <v>0</v>
      </c>
      <c r="Q18" s="8" t="s">
        <v>894</v>
      </c>
    </row>
    <row r="19" customFormat="false" ht="15" hidden="false" customHeight="true" outlineLevel="0" collapsed="false">
      <c r="A19" s="6" t="n">
        <v>18</v>
      </c>
      <c r="B19" s="7" t="s">
        <v>887</v>
      </c>
      <c r="C19" s="7" t="s">
        <v>947</v>
      </c>
      <c r="D19" s="7" t="s">
        <v>948</v>
      </c>
      <c r="E19" s="6" t="n">
        <v>65</v>
      </c>
      <c r="F19" s="6" t="n">
        <v>3.8</v>
      </c>
      <c r="G19" s="6" t="n">
        <v>3</v>
      </c>
      <c r="H19" s="1" t="n">
        <v>0</v>
      </c>
      <c r="I19" s="7" t="s">
        <v>949</v>
      </c>
      <c r="J19" s="7" t="s">
        <v>891</v>
      </c>
      <c r="K19" s="26" t="s">
        <v>892</v>
      </c>
      <c r="L19" s="6" t="n">
        <v>5000</v>
      </c>
      <c r="M19" s="6" t="n">
        <v>0.65</v>
      </c>
      <c r="N19" s="6" t="s">
        <v>950</v>
      </c>
      <c r="O19" s="6" t="n">
        <v>0.03</v>
      </c>
      <c r="P19" s="1" t="n">
        <v>0</v>
      </c>
      <c r="Q19" s="9" t="s">
        <v>894</v>
      </c>
    </row>
    <row r="20" customFormat="false" ht="15" hidden="false" customHeight="true" outlineLevel="0" collapsed="false">
      <c r="A20" s="4" t="n">
        <v>19</v>
      </c>
      <c r="B20" s="5" t="s">
        <v>887</v>
      </c>
      <c r="C20" s="5" t="s">
        <v>947</v>
      </c>
      <c r="D20" s="5" t="s">
        <v>951</v>
      </c>
      <c r="E20" s="4" t="n">
        <v>65</v>
      </c>
      <c r="F20" s="4" t="n">
        <v>3.4</v>
      </c>
      <c r="G20" s="4" t="n">
        <v>4</v>
      </c>
      <c r="H20" s="1" t="n">
        <v>0</v>
      </c>
      <c r="I20" s="5" t="s">
        <v>952</v>
      </c>
      <c r="J20" s="5" t="s">
        <v>891</v>
      </c>
      <c r="K20" s="25" t="s">
        <v>892</v>
      </c>
      <c r="L20" s="4" t="n">
        <v>12000</v>
      </c>
      <c r="M20" s="4" t="n">
        <v>0.65</v>
      </c>
      <c r="N20" s="4" t="s">
        <v>953</v>
      </c>
      <c r="O20" s="4" t="n">
        <v>0.04</v>
      </c>
      <c r="P20" s="1" t="n">
        <v>0</v>
      </c>
      <c r="Q20" s="8"/>
    </row>
    <row r="21" customFormat="false" ht="15" hidden="false" customHeight="true" outlineLevel="0" collapsed="false">
      <c r="A21" s="6" t="n">
        <v>20</v>
      </c>
      <c r="B21" s="7" t="s">
        <v>887</v>
      </c>
      <c r="C21" s="7" t="s">
        <v>947</v>
      </c>
      <c r="D21" s="7" t="s">
        <v>954</v>
      </c>
      <c r="E21" s="6" t="n">
        <v>60</v>
      </c>
      <c r="F21" s="6" t="n">
        <v>2.5</v>
      </c>
      <c r="G21" s="6" t="n">
        <v>6</v>
      </c>
      <c r="H21" s="1" t="n">
        <v>0</v>
      </c>
      <c r="I21" s="7" t="s">
        <v>955</v>
      </c>
      <c r="J21" s="7" t="s">
        <v>891</v>
      </c>
      <c r="K21" s="26" t="s">
        <v>892</v>
      </c>
      <c r="L21" s="6" t="n">
        <v>7000</v>
      </c>
      <c r="M21" s="6" t="n">
        <v>0.6</v>
      </c>
      <c r="N21" s="6" t="s">
        <v>956</v>
      </c>
      <c r="O21" s="6" t="n">
        <v>0.06</v>
      </c>
      <c r="P21" s="1" t="n">
        <v>0</v>
      </c>
      <c r="Q21" s="7" t="s">
        <v>926</v>
      </c>
    </row>
    <row r="22" customFormat="false" ht="15" hidden="false" customHeight="true" outlineLevel="0" collapsed="false">
      <c r="A22" s="4" t="n">
        <v>21</v>
      </c>
      <c r="B22" s="5" t="s">
        <v>887</v>
      </c>
      <c r="C22" s="5" t="s">
        <v>947</v>
      </c>
      <c r="D22" s="5" t="s">
        <v>957</v>
      </c>
      <c r="E22" s="4" t="n">
        <v>60</v>
      </c>
      <c r="F22" s="4" t="n">
        <v>3.6</v>
      </c>
      <c r="G22" s="4" t="n">
        <v>3.2</v>
      </c>
      <c r="H22" s="1" t="n">
        <v>0</v>
      </c>
      <c r="I22" s="5" t="s">
        <v>958</v>
      </c>
      <c r="J22" s="5" t="s">
        <v>891</v>
      </c>
      <c r="K22" s="25" t="s">
        <v>892</v>
      </c>
      <c r="L22" s="4" t="n">
        <v>6000</v>
      </c>
      <c r="M22" s="4" t="n">
        <v>0.6</v>
      </c>
      <c r="N22" s="4" t="s">
        <v>917</v>
      </c>
      <c r="O22" s="4" t="n">
        <v>0.032</v>
      </c>
      <c r="P22" s="1" t="n">
        <v>0</v>
      </c>
      <c r="Q22" s="8"/>
    </row>
    <row r="23" customFormat="false" ht="15" hidden="false" customHeight="true" outlineLevel="0" collapsed="false">
      <c r="A23" s="6" t="n">
        <v>22</v>
      </c>
      <c r="B23" s="7" t="s">
        <v>887</v>
      </c>
      <c r="C23" s="7" t="s">
        <v>959</v>
      </c>
      <c r="D23" s="7" t="s">
        <v>960</v>
      </c>
      <c r="E23" s="6" t="n">
        <v>68</v>
      </c>
      <c r="F23" s="6" t="n">
        <v>3.3</v>
      </c>
      <c r="G23" s="6" t="n">
        <v>5</v>
      </c>
      <c r="H23" s="1" t="n">
        <v>0</v>
      </c>
      <c r="I23" s="7" t="s">
        <v>961</v>
      </c>
      <c r="J23" s="7" t="s">
        <v>891</v>
      </c>
      <c r="K23" s="26" t="s">
        <v>892</v>
      </c>
      <c r="L23" s="6" t="n">
        <v>4000</v>
      </c>
      <c r="M23" s="6" t="n">
        <v>0.68</v>
      </c>
      <c r="N23" s="6" t="s">
        <v>962</v>
      </c>
      <c r="O23" s="6" t="n">
        <v>0.05</v>
      </c>
      <c r="P23" s="1" t="n">
        <v>0</v>
      </c>
      <c r="Q23" s="9" t="s">
        <v>894</v>
      </c>
    </row>
    <row r="24" customFormat="false" ht="15" hidden="false" customHeight="true" outlineLevel="0" collapsed="false">
      <c r="A24" s="4" t="n">
        <v>23</v>
      </c>
      <c r="B24" s="5" t="s">
        <v>887</v>
      </c>
      <c r="C24" s="5" t="s">
        <v>959</v>
      </c>
      <c r="D24" s="5" t="s">
        <v>963</v>
      </c>
      <c r="E24" s="4" t="n">
        <v>65</v>
      </c>
      <c r="F24" s="4" t="n">
        <v>3.2</v>
      </c>
      <c r="G24" s="4" t="n">
        <v>3.5</v>
      </c>
      <c r="H24" s="1" t="n">
        <v>0</v>
      </c>
      <c r="I24" s="5" t="s">
        <v>964</v>
      </c>
      <c r="J24" s="5" t="s">
        <v>891</v>
      </c>
      <c r="K24" s="25" t="s">
        <v>892</v>
      </c>
      <c r="L24" s="4" t="n">
        <v>15000</v>
      </c>
      <c r="M24" s="4" t="n">
        <v>0.65</v>
      </c>
      <c r="N24" s="4" t="s">
        <v>914</v>
      </c>
      <c r="O24" s="4" t="n">
        <v>0.035</v>
      </c>
      <c r="P24" s="1" t="n">
        <v>0</v>
      </c>
      <c r="Q24" s="8"/>
    </row>
    <row r="25" customFormat="false" ht="15" hidden="false" customHeight="true" outlineLevel="0" collapsed="false">
      <c r="A25" s="6" t="n">
        <v>24</v>
      </c>
      <c r="B25" s="7" t="s">
        <v>887</v>
      </c>
      <c r="C25" s="7" t="s">
        <v>959</v>
      </c>
      <c r="D25" s="7" t="s">
        <v>965</v>
      </c>
      <c r="E25" s="6" t="n">
        <v>50</v>
      </c>
      <c r="F25" s="6" t="n">
        <v>2.5</v>
      </c>
      <c r="G25" s="6" t="n">
        <v>5.5</v>
      </c>
      <c r="H25" s="1" t="n">
        <v>0</v>
      </c>
      <c r="I25" s="7" t="s">
        <v>966</v>
      </c>
      <c r="J25" s="7" t="s">
        <v>891</v>
      </c>
      <c r="K25" s="26" t="s">
        <v>892</v>
      </c>
      <c r="L25" s="6" t="n">
        <v>14000</v>
      </c>
      <c r="M25" s="6" t="n">
        <v>0.5</v>
      </c>
      <c r="N25" s="6" t="s">
        <v>956</v>
      </c>
      <c r="O25" s="6" t="n">
        <v>0.055</v>
      </c>
      <c r="P25" s="1" t="n">
        <v>0</v>
      </c>
      <c r="Q25" s="7" t="s">
        <v>926</v>
      </c>
    </row>
    <row r="26" customFormat="false" ht="15" hidden="false" customHeight="true" outlineLevel="0" collapsed="false">
      <c r="A26" s="4" t="n">
        <v>25</v>
      </c>
      <c r="B26" s="5" t="s">
        <v>887</v>
      </c>
      <c r="C26" s="5" t="s">
        <v>959</v>
      </c>
      <c r="D26" s="5" t="s">
        <v>967</v>
      </c>
      <c r="E26" s="4" t="n">
        <v>55</v>
      </c>
      <c r="F26" s="4" t="n">
        <v>3</v>
      </c>
      <c r="G26" s="4" t="n">
        <v>4.5</v>
      </c>
      <c r="H26" s="1" t="n">
        <v>0</v>
      </c>
      <c r="I26" s="5" t="s">
        <v>968</v>
      </c>
      <c r="J26" s="5" t="s">
        <v>891</v>
      </c>
      <c r="K26" s="25" t="s">
        <v>892</v>
      </c>
      <c r="L26" s="4" t="n">
        <v>16000</v>
      </c>
      <c r="M26" s="4" t="n">
        <v>0.55</v>
      </c>
      <c r="N26" s="4" t="s">
        <v>897</v>
      </c>
      <c r="O26" s="4" t="n">
        <v>0.045</v>
      </c>
      <c r="P26" s="1" t="n">
        <v>0</v>
      </c>
      <c r="Q26" s="8"/>
    </row>
    <row r="27" customFormat="false" ht="15" hidden="false" customHeight="true" outlineLevel="0" collapsed="false">
      <c r="A27" s="6" t="n">
        <v>26</v>
      </c>
      <c r="B27" s="7" t="s">
        <v>887</v>
      </c>
      <c r="C27" s="7" t="s">
        <v>959</v>
      </c>
      <c r="D27" s="7" t="s">
        <v>969</v>
      </c>
      <c r="E27" s="6" t="n">
        <v>55</v>
      </c>
      <c r="F27" s="6" t="n">
        <v>3.3</v>
      </c>
      <c r="G27" s="6" t="n">
        <v>3.5</v>
      </c>
      <c r="H27" s="1" t="n">
        <v>0</v>
      </c>
      <c r="I27" s="7" t="s">
        <v>970</v>
      </c>
      <c r="J27" s="7" t="s">
        <v>891</v>
      </c>
      <c r="K27" s="26" t="s">
        <v>892</v>
      </c>
      <c r="L27" s="6" t="n">
        <v>12000</v>
      </c>
      <c r="M27" s="6" t="n">
        <v>0.55</v>
      </c>
      <c r="N27" s="6" t="s">
        <v>962</v>
      </c>
      <c r="O27" s="6" t="n">
        <v>0.035</v>
      </c>
      <c r="P27" s="1" t="n">
        <v>0</v>
      </c>
      <c r="Q27" s="9"/>
    </row>
    <row r="28" customFormat="false" ht="15" hidden="false" customHeight="true" outlineLevel="0" collapsed="false">
      <c r="A28" s="4" t="n">
        <v>27</v>
      </c>
      <c r="B28" s="5" t="s">
        <v>887</v>
      </c>
      <c r="C28" s="5" t="s">
        <v>959</v>
      </c>
      <c r="D28" s="5" t="s">
        <v>971</v>
      </c>
      <c r="E28" s="4" t="n">
        <v>65</v>
      </c>
      <c r="F28" s="4" t="n">
        <v>3</v>
      </c>
      <c r="G28" s="4" t="n">
        <v>4.5</v>
      </c>
      <c r="H28" s="1" t="n">
        <v>0</v>
      </c>
      <c r="I28" s="5" t="s">
        <v>972</v>
      </c>
      <c r="J28" s="5" t="s">
        <v>891</v>
      </c>
      <c r="K28" s="25" t="s">
        <v>892</v>
      </c>
      <c r="L28" s="4" t="n">
        <v>11000</v>
      </c>
      <c r="M28" s="4" t="n">
        <v>0.65</v>
      </c>
      <c r="N28" s="4" t="s">
        <v>897</v>
      </c>
      <c r="O28" s="4" t="n">
        <v>0.045</v>
      </c>
      <c r="P28" s="1" t="n">
        <v>0</v>
      </c>
      <c r="Q28" s="8"/>
    </row>
    <row r="29" customFormat="false" ht="15" hidden="false" customHeight="true" outlineLevel="0" collapsed="false">
      <c r="A29" s="6" t="n">
        <v>28</v>
      </c>
      <c r="B29" s="7" t="s">
        <v>887</v>
      </c>
      <c r="C29" s="7" t="s">
        <v>959</v>
      </c>
      <c r="D29" s="7" t="s">
        <v>973</v>
      </c>
      <c r="E29" s="6" t="n">
        <v>14</v>
      </c>
      <c r="F29" s="6" t="n">
        <v>3.5</v>
      </c>
      <c r="G29" s="6" t="n">
        <v>2</v>
      </c>
      <c r="H29" s="1" t="n">
        <v>0</v>
      </c>
      <c r="I29" s="7" t="s">
        <v>974</v>
      </c>
      <c r="J29" s="7" t="s">
        <v>938</v>
      </c>
      <c r="K29" s="26" t="s">
        <v>939</v>
      </c>
      <c r="L29" s="6" t="n">
        <v>25000</v>
      </c>
      <c r="M29" s="6" t="n">
        <v>0.14</v>
      </c>
      <c r="N29" s="6" t="s">
        <v>893</v>
      </c>
      <c r="O29" s="6" t="n">
        <v>0.02</v>
      </c>
      <c r="P29" s="1" t="n">
        <v>0</v>
      </c>
      <c r="Q29" s="7" t="s">
        <v>975</v>
      </c>
    </row>
    <row r="30" customFormat="false" ht="15" hidden="false" customHeight="true" outlineLevel="0" collapsed="false">
      <c r="A30" s="4" t="n">
        <v>29</v>
      </c>
      <c r="B30" s="5" t="s">
        <v>887</v>
      </c>
      <c r="C30" s="5" t="s">
        <v>976</v>
      </c>
      <c r="D30" s="5" t="s">
        <v>977</v>
      </c>
      <c r="E30" s="4" t="n">
        <v>28</v>
      </c>
      <c r="F30" s="4" t="n">
        <v>4.2</v>
      </c>
      <c r="G30" s="4" t="n">
        <v>2.5</v>
      </c>
      <c r="H30" s="1" t="n">
        <v>0</v>
      </c>
      <c r="I30" s="5" t="s">
        <v>978</v>
      </c>
      <c r="J30" s="5" t="s">
        <v>979</v>
      </c>
      <c r="K30" s="25" t="s">
        <v>892</v>
      </c>
      <c r="L30" s="4" t="n">
        <v>3000</v>
      </c>
      <c r="M30" s="4" t="n">
        <v>0.28</v>
      </c>
      <c r="N30" s="4" t="s">
        <v>946</v>
      </c>
      <c r="O30" s="4" t="n">
        <v>0.025</v>
      </c>
      <c r="P30" s="1" t="n">
        <v>0</v>
      </c>
      <c r="Q30" s="8" t="s">
        <v>980</v>
      </c>
    </row>
    <row r="31" customFormat="false" ht="15" hidden="false" customHeight="true" outlineLevel="0" collapsed="false">
      <c r="A31" s="6" t="n">
        <v>30</v>
      </c>
      <c r="B31" s="7" t="s">
        <v>887</v>
      </c>
      <c r="C31" s="7" t="s">
        <v>976</v>
      </c>
      <c r="D31" s="7" t="s">
        <v>981</v>
      </c>
      <c r="E31" s="6" t="n">
        <v>40</v>
      </c>
      <c r="F31" s="6" t="n">
        <v>6</v>
      </c>
      <c r="G31" s="6" t="n">
        <v>0.3</v>
      </c>
      <c r="H31" s="1" t="n">
        <v>0</v>
      </c>
      <c r="I31" s="7" t="s">
        <v>982</v>
      </c>
      <c r="J31" s="7" t="s">
        <v>891</v>
      </c>
      <c r="K31" s="26" t="s">
        <v>892</v>
      </c>
      <c r="L31" s="6" t="n">
        <v>4000</v>
      </c>
      <c r="M31" s="6" t="n">
        <v>0.4</v>
      </c>
      <c r="N31" s="6" t="s">
        <v>983</v>
      </c>
      <c r="O31" s="6" t="n">
        <v>0.003</v>
      </c>
      <c r="P31" s="1" t="n">
        <v>0</v>
      </c>
      <c r="Q31" s="9"/>
    </row>
    <row r="32" customFormat="false" ht="15" hidden="false" customHeight="true" outlineLevel="0" collapsed="false">
      <c r="A32" s="4" t="n">
        <v>31</v>
      </c>
      <c r="B32" s="5" t="s">
        <v>887</v>
      </c>
      <c r="C32" s="5" t="s">
        <v>976</v>
      </c>
      <c r="D32" s="5" t="s">
        <v>984</v>
      </c>
      <c r="E32" s="4" t="n">
        <v>45</v>
      </c>
      <c r="F32" s="4" t="n">
        <v>5.5</v>
      </c>
      <c r="G32" s="4" t="n">
        <v>0.5</v>
      </c>
      <c r="H32" s="1" t="n">
        <v>0</v>
      </c>
      <c r="I32" s="5" t="s">
        <v>985</v>
      </c>
      <c r="J32" s="5" t="s">
        <v>891</v>
      </c>
      <c r="K32" s="25" t="s">
        <v>892</v>
      </c>
      <c r="L32" s="4" t="n">
        <v>5000</v>
      </c>
      <c r="M32" s="4" t="n">
        <v>0.45</v>
      </c>
      <c r="N32" s="4" t="s">
        <v>986</v>
      </c>
      <c r="O32" s="4" t="n">
        <v>0.005</v>
      </c>
      <c r="P32" s="1" t="n">
        <v>0</v>
      </c>
      <c r="Q32" s="5" t="s">
        <v>987</v>
      </c>
    </row>
    <row r="33" customFormat="false" ht="15" hidden="false" customHeight="true" outlineLevel="0" collapsed="false">
      <c r="A33" s="6" t="n">
        <v>32</v>
      </c>
      <c r="B33" s="7" t="s">
        <v>887</v>
      </c>
      <c r="C33" s="7" t="s">
        <v>976</v>
      </c>
      <c r="D33" s="7" t="s">
        <v>988</v>
      </c>
      <c r="E33" s="6" t="n">
        <v>8</v>
      </c>
      <c r="F33" s="6" t="n">
        <v>5.8</v>
      </c>
      <c r="G33" s="6" t="n">
        <v>0.2</v>
      </c>
      <c r="H33" s="1" t="n">
        <v>0</v>
      </c>
      <c r="I33" s="7" t="s">
        <v>989</v>
      </c>
      <c r="J33" s="7" t="s">
        <v>891</v>
      </c>
      <c r="K33" s="26" t="s">
        <v>892</v>
      </c>
      <c r="L33" s="6" t="n">
        <v>6000</v>
      </c>
      <c r="M33" s="6" t="n">
        <v>0.08</v>
      </c>
      <c r="N33" s="6" t="s">
        <v>990</v>
      </c>
      <c r="O33" s="6" t="n">
        <v>0.002</v>
      </c>
      <c r="P33" s="1" t="n">
        <v>0</v>
      </c>
      <c r="Q33" s="9"/>
    </row>
    <row r="34" customFormat="false" ht="15" hidden="false" customHeight="true" outlineLevel="0" collapsed="false">
      <c r="A34" s="4" t="n">
        <v>33</v>
      </c>
      <c r="B34" s="5" t="s">
        <v>887</v>
      </c>
      <c r="C34" s="5" t="s">
        <v>976</v>
      </c>
      <c r="D34" s="5" t="s">
        <v>991</v>
      </c>
      <c r="E34" s="4" t="n">
        <v>10</v>
      </c>
      <c r="F34" s="4" t="n">
        <v>6</v>
      </c>
      <c r="G34" s="4" t="n">
        <v>0.2</v>
      </c>
      <c r="H34" s="1" t="n">
        <v>0</v>
      </c>
      <c r="I34" s="5" t="s">
        <v>992</v>
      </c>
      <c r="J34" s="5" t="s">
        <v>891</v>
      </c>
      <c r="K34" s="25" t="s">
        <v>892</v>
      </c>
      <c r="L34" s="4" t="n">
        <v>7000</v>
      </c>
      <c r="M34" s="4" t="n">
        <v>0.1</v>
      </c>
      <c r="N34" s="4" t="s">
        <v>983</v>
      </c>
      <c r="O34" s="4" t="n">
        <v>0.002</v>
      </c>
      <c r="P34" s="1" t="n">
        <v>0</v>
      </c>
      <c r="Q34" s="5" t="s">
        <v>993</v>
      </c>
    </row>
    <row r="35" customFormat="false" ht="15" hidden="false" customHeight="true" outlineLevel="0" collapsed="false">
      <c r="A35" s="6" t="n">
        <v>34</v>
      </c>
      <c r="B35" s="7" t="s">
        <v>994</v>
      </c>
      <c r="C35" s="7" t="s">
        <v>995</v>
      </c>
      <c r="D35" s="7" t="s">
        <v>996</v>
      </c>
      <c r="E35" s="6" t="n">
        <v>99.9</v>
      </c>
      <c r="F35" s="6" t="s">
        <v>110</v>
      </c>
      <c r="G35" s="6" t="s">
        <v>110</v>
      </c>
      <c r="H35" s="1" t="n">
        <v>1</v>
      </c>
      <c r="I35" s="7" t="s">
        <v>997</v>
      </c>
      <c r="J35" s="7" t="s">
        <v>998</v>
      </c>
      <c r="K35" s="26" t="s">
        <v>522</v>
      </c>
      <c r="L35" s="6" t="n">
        <v>1200</v>
      </c>
      <c r="M35" s="6" t="n">
        <v>0.999</v>
      </c>
      <c r="N35" s="26" t="s">
        <v>999</v>
      </c>
      <c r="O35" s="6" t="n">
        <v>0</v>
      </c>
      <c r="P35" s="1" t="n">
        <v>0.01</v>
      </c>
      <c r="Q35" s="7" t="s">
        <v>1000</v>
      </c>
    </row>
    <row r="36" customFormat="false" ht="15" hidden="false" customHeight="true" outlineLevel="0" collapsed="false">
      <c r="A36" s="4" t="n">
        <v>35</v>
      </c>
      <c r="B36" s="5" t="s">
        <v>994</v>
      </c>
      <c r="C36" s="5" t="s">
        <v>995</v>
      </c>
      <c r="D36" s="5" t="s">
        <v>1001</v>
      </c>
      <c r="E36" s="4" t="n">
        <v>99</v>
      </c>
      <c r="F36" s="4" t="s">
        <v>110</v>
      </c>
      <c r="G36" s="4" t="s">
        <v>110</v>
      </c>
      <c r="H36" s="1" t="s">
        <v>110</v>
      </c>
      <c r="I36" s="5" t="s">
        <v>1002</v>
      </c>
      <c r="J36" s="5" t="s">
        <v>998</v>
      </c>
      <c r="K36" s="25" t="s">
        <v>522</v>
      </c>
      <c r="L36" s="4" t="n">
        <v>1400</v>
      </c>
      <c r="M36" s="4" t="n">
        <v>0.99</v>
      </c>
      <c r="N36" s="25" t="s">
        <v>999</v>
      </c>
      <c r="O36" s="4" t="n">
        <v>0</v>
      </c>
      <c r="P36" s="1" t="s">
        <v>110</v>
      </c>
      <c r="Q36" s="5" t="s">
        <v>1003</v>
      </c>
    </row>
    <row r="37" customFormat="false" ht="15" hidden="false" customHeight="true" outlineLevel="0" collapsed="false">
      <c r="A37" s="6" t="n">
        <v>36</v>
      </c>
      <c r="B37" s="7" t="s">
        <v>994</v>
      </c>
      <c r="C37" s="7" t="s">
        <v>995</v>
      </c>
      <c r="D37" s="7" t="s">
        <v>1004</v>
      </c>
      <c r="E37" s="6" t="n">
        <v>77</v>
      </c>
      <c r="F37" s="6" t="n">
        <v>4</v>
      </c>
      <c r="G37" s="6" t="s">
        <v>110</v>
      </c>
      <c r="H37" s="1" t="n">
        <v>1</v>
      </c>
      <c r="I37" s="7" t="s">
        <v>1005</v>
      </c>
      <c r="J37" s="7" t="s">
        <v>891</v>
      </c>
      <c r="K37" s="26" t="s">
        <v>522</v>
      </c>
      <c r="L37" s="6" t="n">
        <v>1000</v>
      </c>
      <c r="M37" s="6" t="n">
        <v>0.77</v>
      </c>
      <c r="N37" s="26" t="s">
        <v>1006</v>
      </c>
      <c r="O37" s="6" t="n">
        <v>0</v>
      </c>
      <c r="P37" s="1" t="n">
        <v>0.01</v>
      </c>
      <c r="Q37" s="7" t="s">
        <v>1007</v>
      </c>
    </row>
    <row r="38" customFormat="false" ht="15" hidden="false" customHeight="true" outlineLevel="0" collapsed="false">
      <c r="A38" s="4" t="n">
        <v>37</v>
      </c>
      <c r="B38" s="5" t="s">
        <v>994</v>
      </c>
      <c r="C38" s="5" t="s">
        <v>995</v>
      </c>
      <c r="D38" s="5" t="s">
        <v>1008</v>
      </c>
      <c r="E38" s="4" t="n">
        <v>71</v>
      </c>
      <c r="F38" s="4" t="n">
        <v>4</v>
      </c>
      <c r="G38" s="4" t="s">
        <v>110</v>
      </c>
      <c r="H38" s="1" t="n">
        <v>1</v>
      </c>
      <c r="I38" s="5" t="s">
        <v>1009</v>
      </c>
      <c r="J38" s="5" t="s">
        <v>891</v>
      </c>
      <c r="K38" s="25" t="s">
        <v>522</v>
      </c>
      <c r="L38" s="4" t="n">
        <v>900</v>
      </c>
      <c r="M38" s="4" t="n">
        <v>0.71</v>
      </c>
      <c r="N38" s="25" t="s">
        <v>1006</v>
      </c>
      <c r="O38" s="4" t="n">
        <v>0</v>
      </c>
      <c r="P38" s="1" t="n">
        <v>0.01</v>
      </c>
      <c r="Q38" s="5" t="s">
        <v>1010</v>
      </c>
    </row>
    <row r="39" customFormat="false" ht="15" hidden="false" customHeight="true" outlineLevel="0" collapsed="false">
      <c r="A39" s="6" t="n">
        <v>38</v>
      </c>
      <c r="B39" s="7" t="s">
        <v>994</v>
      </c>
      <c r="C39" s="7" t="s">
        <v>995</v>
      </c>
      <c r="D39" s="7" t="s">
        <v>1011</v>
      </c>
      <c r="E39" s="6" t="n">
        <v>75</v>
      </c>
      <c r="F39" s="6" t="n">
        <v>5</v>
      </c>
      <c r="G39" s="6" t="s">
        <v>110</v>
      </c>
      <c r="H39" s="1" t="n">
        <v>0.4</v>
      </c>
      <c r="I39" s="7" t="s">
        <v>1012</v>
      </c>
      <c r="J39" s="7" t="s">
        <v>891</v>
      </c>
      <c r="K39" s="26" t="s">
        <v>522</v>
      </c>
      <c r="L39" s="6" t="n">
        <v>1100</v>
      </c>
      <c r="M39" s="6" t="n">
        <v>0.75</v>
      </c>
      <c r="N39" s="26" t="s">
        <v>1013</v>
      </c>
      <c r="O39" s="6" t="n">
        <v>0</v>
      </c>
      <c r="P39" s="1" t="n">
        <v>0.004</v>
      </c>
      <c r="Q39" s="7" t="s">
        <v>1014</v>
      </c>
    </row>
    <row r="40" customFormat="false" ht="15" hidden="false" customHeight="true" outlineLevel="0" collapsed="false">
      <c r="A40" s="4" t="n">
        <v>39</v>
      </c>
      <c r="B40" s="5" t="s">
        <v>994</v>
      </c>
      <c r="C40" s="5" t="s">
        <v>995</v>
      </c>
      <c r="D40" s="5" t="s">
        <v>1015</v>
      </c>
      <c r="E40" s="4" t="n">
        <v>99.5</v>
      </c>
      <c r="F40" s="4" t="s">
        <v>110</v>
      </c>
      <c r="G40" s="4" t="s">
        <v>110</v>
      </c>
      <c r="H40" s="1" t="s">
        <v>110</v>
      </c>
      <c r="I40" s="8" t="s">
        <v>1016</v>
      </c>
      <c r="J40" s="5" t="s">
        <v>998</v>
      </c>
      <c r="K40" s="25" t="s">
        <v>522</v>
      </c>
      <c r="L40" s="4" t="n">
        <v>1500</v>
      </c>
      <c r="M40" s="4" t="n">
        <v>0.995</v>
      </c>
      <c r="N40" s="25" t="s">
        <v>999</v>
      </c>
      <c r="O40" s="4" t="n">
        <v>0</v>
      </c>
      <c r="P40" s="1" t="s">
        <v>110</v>
      </c>
      <c r="Q40" s="8"/>
    </row>
    <row r="41" customFormat="false" ht="15" hidden="false" customHeight="true" outlineLevel="0" collapsed="false">
      <c r="A41" s="6" t="n">
        <v>40</v>
      </c>
      <c r="B41" s="7" t="s">
        <v>994</v>
      </c>
      <c r="C41" s="7" t="s">
        <v>995</v>
      </c>
      <c r="D41" s="7" t="s">
        <v>1017</v>
      </c>
      <c r="E41" s="6" t="n">
        <v>99.5</v>
      </c>
      <c r="F41" s="6" t="s">
        <v>110</v>
      </c>
      <c r="G41" s="6" t="s">
        <v>110</v>
      </c>
      <c r="H41" s="1" t="s">
        <v>110</v>
      </c>
      <c r="I41" s="9" t="s">
        <v>1018</v>
      </c>
      <c r="J41" s="7" t="s">
        <v>998</v>
      </c>
      <c r="K41" s="26" t="s">
        <v>522</v>
      </c>
      <c r="L41" s="6" t="n">
        <v>2500</v>
      </c>
      <c r="M41" s="6" t="n">
        <v>0.995</v>
      </c>
      <c r="N41" s="26" t="s">
        <v>999</v>
      </c>
      <c r="O41" s="6" t="n">
        <v>0</v>
      </c>
      <c r="P41" s="1" t="s">
        <v>110</v>
      </c>
      <c r="Q41" s="7" t="s">
        <v>1019</v>
      </c>
    </row>
    <row r="42" customFormat="false" ht="15" hidden="false" customHeight="true" outlineLevel="0" collapsed="false">
      <c r="A42" s="4" t="n">
        <v>41</v>
      </c>
      <c r="B42" s="5" t="s">
        <v>994</v>
      </c>
      <c r="C42" s="5" t="s">
        <v>995</v>
      </c>
      <c r="D42" s="5" t="s">
        <v>1020</v>
      </c>
      <c r="E42" s="4" t="n">
        <v>80</v>
      </c>
      <c r="F42" s="4" t="n">
        <v>3.9</v>
      </c>
      <c r="G42" s="4" t="n">
        <v>0.3</v>
      </c>
      <c r="H42" s="1" t="s">
        <v>110</v>
      </c>
      <c r="I42" s="5" t="s">
        <v>1021</v>
      </c>
      <c r="J42" s="5" t="s">
        <v>1022</v>
      </c>
      <c r="K42" s="25" t="s">
        <v>522</v>
      </c>
      <c r="L42" s="4" t="n">
        <v>15000</v>
      </c>
      <c r="M42" s="4" t="n">
        <v>0.8</v>
      </c>
      <c r="N42" s="4" t="s">
        <v>1023</v>
      </c>
      <c r="O42" s="4" t="n">
        <v>0.003</v>
      </c>
      <c r="P42" s="1" t="s">
        <v>110</v>
      </c>
      <c r="Q42" s="5" t="s">
        <v>1024</v>
      </c>
    </row>
    <row r="43" customFormat="false" ht="15" hidden="false" customHeight="true" outlineLevel="0" collapsed="false">
      <c r="A43" s="6" t="n">
        <v>42</v>
      </c>
      <c r="B43" s="7" t="s">
        <v>994</v>
      </c>
      <c r="C43" s="7" t="s">
        <v>995</v>
      </c>
      <c r="D43" s="7" t="s">
        <v>1025</v>
      </c>
      <c r="E43" s="6" t="n">
        <v>66</v>
      </c>
      <c r="F43" s="6" t="n">
        <v>5</v>
      </c>
      <c r="G43" s="6" t="s">
        <v>110</v>
      </c>
      <c r="H43" s="1" t="s">
        <v>110</v>
      </c>
      <c r="I43" s="7" t="s">
        <v>1026</v>
      </c>
      <c r="J43" s="7" t="s">
        <v>1027</v>
      </c>
      <c r="K43" s="26" t="s">
        <v>511</v>
      </c>
      <c r="L43" s="6" t="n">
        <v>35000</v>
      </c>
      <c r="M43" s="6" t="n">
        <v>0.66</v>
      </c>
      <c r="N43" s="26" t="s">
        <v>1013</v>
      </c>
      <c r="O43" s="6" t="n">
        <v>0</v>
      </c>
      <c r="P43" s="1" t="s">
        <v>110</v>
      </c>
      <c r="Q43" s="7" t="s">
        <v>1028</v>
      </c>
    </row>
    <row r="44" customFormat="false" ht="15" hidden="false" customHeight="true" outlineLevel="0" collapsed="false">
      <c r="A44" s="4" t="n">
        <v>43</v>
      </c>
      <c r="B44" s="5" t="s">
        <v>994</v>
      </c>
      <c r="C44" s="5" t="s">
        <v>995</v>
      </c>
      <c r="D44" s="5" t="s">
        <v>1029</v>
      </c>
      <c r="E44" s="4" t="n">
        <v>76</v>
      </c>
      <c r="F44" s="4" t="n">
        <v>4.5</v>
      </c>
      <c r="G44" s="4" t="s">
        <v>110</v>
      </c>
      <c r="H44" s="1" t="s">
        <v>110</v>
      </c>
      <c r="I44" s="5" t="s">
        <v>1030</v>
      </c>
      <c r="J44" s="5" t="s">
        <v>1027</v>
      </c>
      <c r="K44" s="25" t="s">
        <v>522</v>
      </c>
      <c r="L44" s="4" t="n">
        <v>12000</v>
      </c>
      <c r="M44" s="4" t="n">
        <v>0.76</v>
      </c>
      <c r="N44" s="25" t="s">
        <v>1031</v>
      </c>
      <c r="O44" s="4" t="n">
        <v>0</v>
      </c>
      <c r="P44" s="1" t="s">
        <v>110</v>
      </c>
      <c r="Q44" s="5" t="s">
        <v>1032</v>
      </c>
    </row>
    <row r="45" customFormat="false" ht="15" hidden="false" customHeight="true" outlineLevel="0" collapsed="false">
      <c r="A45" s="6" t="n">
        <v>44</v>
      </c>
      <c r="B45" s="7" t="s">
        <v>994</v>
      </c>
      <c r="C45" s="7" t="s">
        <v>1033</v>
      </c>
      <c r="D45" s="7" t="s">
        <v>1034</v>
      </c>
      <c r="E45" s="6" t="n">
        <v>75</v>
      </c>
      <c r="F45" s="6" t="n">
        <v>5.5</v>
      </c>
      <c r="G45" s="6" t="s">
        <v>110</v>
      </c>
      <c r="H45" s="1" t="n">
        <v>0.6</v>
      </c>
      <c r="I45" s="7" t="s">
        <v>1035</v>
      </c>
      <c r="J45" s="7" t="s">
        <v>891</v>
      </c>
      <c r="K45" s="26" t="s">
        <v>522</v>
      </c>
      <c r="L45" s="6" t="n">
        <v>4500</v>
      </c>
      <c r="M45" s="6" t="n">
        <v>0.75</v>
      </c>
      <c r="N45" s="26" t="s">
        <v>1036</v>
      </c>
      <c r="O45" s="6" t="n">
        <v>0</v>
      </c>
      <c r="P45" s="1" t="n">
        <v>0.006</v>
      </c>
      <c r="Q45" s="7" t="s">
        <v>1037</v>
      </c>
    </row>
    <row r="46" customFormat="false" ht="15" hidden="false" customHeight="true" outlineLevel="0" collapsed="false">
      <c r="A46" s="4" t="n">
        <v>45</v>
      </c>
      <c r="B46" s="5" t="s">
        <v>994</v>
      </c>
      <c r="C46" s="5" t="s">
        <v>1033</v>
      </c>
      <c r="D46" s="5" t="s">
        <v>1038</v>
      </c>
      <c r="E46" s="4" t="n">
        <v>75</v>
      </c>
      <c r="F46" s="4" t="n">
        <v>5</v>
      </c>
      <c r="G46" s="4" t="s">
        <v>110</v>
      </c>
      <c r="H46" s="1" t="n">
        <v>0.5</v>
      </c>
      <c r="I46" s="5" t="s">
        <v>1039</v>
      </c>
      <c r="J46" s="5" t="s">
        <v>891</v>
      </c>
      <c r="K46" s="25" t="s">
        <v>522</v>
      </c>
      <c r="L46" s="4" t="n">
        <v>3500</v>
      </c>
      <c r="M46" s="4" t="n">
        <v>0.75</v>
      </c>
      <c r="N46" s="25" t="s">
        <v>1013</v>
      </c>
      <c r="O46" s="4" t="n">
        <v>0</v>
      </c>
      <c r="P46" s="1" t="n">
        <v>0.005</v>
      </c>
      <c r="Q46" s="5" t="s">
        <v>1040</v>
      </c>
    </row>
    <row r="47" customFormat="false" ht="15" hidden="false" customHeight="true" outlineLevel="0" collapsed="false">
      <c r="A47" s="6" t="n">
        <v>46</v>
      </c>
      <c r="B47" s="7" t="s">
        <v>994</v>
      </c>
      <c r="C47" s="7" t="s">
        <v>1033</v>
      </c>
      <c r="D47" s="7" t="s">
        <v>1041</v>
      </c>
      <c r="E47" s="6" t="n">
        <v>75</v>
      </c>
      <c r="F47" s="6" t="n">
        <v>5.5</v>
      </c>
      <c r="G47" s="6" t="s">
        <v>110</v>
      </c>
      <c r="H47" s="1" t="n">
        <v>0.4</v>
      </c>
      <c r="I47" s="7" t="s">
        <v>1042</v>
      </c>
      <c r="J47" s="7" t="s">
        <v>891</v>
      </c>
      <c r="K47" s="26" t="s">
        <v>522</v>
      </c>
      <c r="L47" s="6" t="n">
        <v>6000</v>
      </c>
      <c r="M47" s="6" t="n">
        <v>0.75</v>
      </c>
      <c r="N47" s="26" t="s">
        <v>1036</v>
      </c>
      <c r="O47" s="6" t="n">
        <v>0</v>
      </c>
      <c r="P47" s="1" t="n">
        <v>0.004</v>
      </c>
      <c r="Q47" s="7" t="s">
        <v>1043</v>
      </c>
    </row>
    <row r="48" customFormat="false" ht="15" hidden="false" customHeight="true" outlineLevel="0" collapsed="false">
      <c r="A48" s="4" t="n">
        <v>47</v>
      </c>
      <c r="B48" s="5" t="s">
        <v>994</v>
      </c>
      <c r="C48" s="5" t="s">
        <v>1033</v>
      </c>
      <c r="D48" s="5" t="s">
        <v>1044</v>
      </c>
      <c r="E48" s="4" t="n">
        <v>70</v>
      </c>
      <c r="F48" s="4" t="n">
        <v>5</v>
      </c>
      <c r="G48" s="4" t="s">
        <v>110</v>
      </c>
      <c r="H48" s="1" t="s">
        <v>110</v>
      </c>
      <c r="I48" s="5" t="s">
        <v>1045</v>
      </c>
      <c r="J48" s="5" t="s">
        <v>1046</v>
      </c>
      <c r="K48" s="25" t="s">
        <v>522</v>
      </c>
      <c r="L48" s="4" t="n">
        <v>8000</v>
      </c>
      <c r="M48" s="4" t="n">
        <v>0.7</v>
      </c>
      <c r="N48" s="25" t="s">
        <v>1013</v>
      </c>
      <c r="O48" s="4" t="n">
        <v>0</v>
      </c>
      <c r="P48" s="1" t="s">
        <v>110</v>
      </c>
      <c r="Q48" s="5" t="s">
        <v>1047</v>
      </c>
    </row>
    <row r="49" customFormat="false" ht="15" hidden="false" customHeight="true" outlineLevel="0" collapsed="false">
      <c r="A49" s="6" t="n">
        <v>48</v>
      </c>
      <c r="B49" s="7" t="s">
        <v>994</v>
      </c>
      <c r="C49" s="7" t="s">
        <v>1033</v>
      </c>
      <c r="D49" s="7" t="s">
        <v>1048</v>
      </c>
      <c r="E49" s="6" t="s">
        <v>110</v>
      </c>
      <c r="F49" s="6" t="s">
        <v>110</v>
      </c>
      <c r="G49" s="6" t="s">
        <v>110</v>
      </c>
      <c r="H49" s="1" t="s">
        <v>110</v>
      </c>
      <c r="I49" s="7" t="s">
        <v>1049</v>
      </c>
      <c r="J49" s="7" t="s">
        <v>998</v>
      </c>
      <c r="K49" s="26" t="s">
        <v>522</v>
      </c>
      <c r="L49" s="6" t="n">
        <v>5000</v>
      </c>
      <c r="M49" s="6" t="n">
        <v>0.99</v>
      </c>
      <c r="N49" s="26" t="s">
        <v>999</v>
      </c>
      <c r="O49" s="6" t="n">
        <v>0</v>
      </c>
      <c r="P49" s="1" t="s">
        <v>110</v>
      </c>
      <c r="Q49" s="7" t="s">
        <v>1050</v>
      </c>
    </row>
    <row r="50" customFormat="false" ht="15" hidden="false" customHeight="true" outlineLevel="0" collapsed="false">
      <c r="A50" s="4" t="n">
        <v>49</v>
      </c>
      <c r="B50" s="5" t="s">
        <v>994</v>
      </c>
      <c r="C50" s="5" t="s">
        <v>1033</v>
      </c>
      <c r="D50" s="5" t="s">
        <v>1051</v>
      </c>
      <c r="E50" s="4" t="s">
        <v>110</v>
      </c>
      <c r="F50" s="4" t="s">
        <v>110</v>
      </c>
      <c r="G50" s="4" t="s">
        <v>110</v>
      </c>
      <c r="H50" s="1" t="s">
        <v>110</v>
      </c>
      <c r="I50" s="8" t="s">
        <v>1052</v>
      </c>
      <c r="J50" s="5" t="s">
        <v>998</v>
      </c>
      <c r="K50" s="25" t="s">
        <v>522</v>
      </c>
      <c r="L50" s="4" t="n">
        <v>20000</v>
      </c>
      <c r="M50" s="4" t="n">
        <v>0.92</v>
      </c>
      <c r="N50" s="25" t="s">
        <v>999</v>
      </c>
      <c r="O50" s="4" t="n">
        <v>0</v>
      </c>
      <c r="P50" s="1" t="s">
        <v>110</v>
      </c>
      <c r="Q50" s="5" t="s">
        <v>1053</v>
      </c>
    </row>
    <row r="51" customFormat="false" ht="15" hidden="false" customHeight="true" outlineLevel="0" collapsed="false">
      <c r="A51" s="6" t="n">
        <v>50</v>
      </c>
      <c r="B51" s="7" t="s">
        <v>994</v>
      </c>
      <c r="C51" s="7" t="s">
        <v>1033</v>
      </c>
      <c r="D51" s="7" t="s">
        <v>1054</v>
      </c>
      <c r="E51" s="6" t="s">
        <v>110</v>
      </c>
      <c r="F51" s="6" t="s">
        <v>110</v>
      </c>
      <c r="G51" s="6" t="s">
        <v>110</v>
      </c>
      <c r="H51" s="1" t="s">
        <v>110</v>
      </c>
      <c r="I51" s="9" t="s">
        <v>1055</v>
      </c>
      <c r="J51" s="7" t="s">
        <v>1046</v>
      </c>
      <c r="K51" s="26" t="s">
        <v>522</v>
      </c>
      <c r="L51" s="6" t="n">
        <v>15000</v>
      </c>
      <c r="M51" s="6" t="n">
        <v>0.7</v>
      </c>
      <c r="N51" s="26" t="s">
        <v>999</v>
      </c>
      <c r="O51" s="6" t="n">
        <v>0</v>
      </c>
      <c r="P51" s="1" t="s">
        <v>110</v>
      </c>
      <c r="Q51" s="9" t="s">
        <v>1056</v>
      </c>
    </row>
    <row r="52" customFormat="false" ht="15" hidden="false" customHeight="true" outlineLevel="0" collapsed="false">
      <c r="A52" s="4" t="n">
        <v>51</v>
      </c>
      <c r="B52" s="5" t="s">
        <v>994</v>
      </c>
      <c r="C52" s="5" t="s">
        <v>1033</v>
      </c>
      <c r="D52" s="5" t="s">
        <v>1057</v>
      </c>
      <c r="E52" s="4" t="s">
        <v>110</v>
      </c>
      <c r="F52" s="4" t="s">
        <v>110</v>
      </c>
      <c r="G52" s="4" t="s">
        <v>110</v>
      </c>
      <c r="H52" s="1" t="n">
        <v>0.4</v>
      </c>
      <c r="I52" s="5" t="s">
        <v>1058</v>
      </c>
      <c r="J52" s="5" t="s">
        <v>998</v>
      </c>
      <c r="K52" s="25" t="s">
        <v>522</v>
      </c>
      <c r="L52" s="4" t="n">
        <v>6000</v>
      </c>
      <c r="M52" s="4" t="n">
        <v>0.45</v>
      </c>
      <c r="N52" s="25" t="s">
        <v>999</v>
      </c>
      <c r="O52" s="4" t="n">
        <v>0</v>
      </c>
      <c r="Q52" s="5" t="s">
        <v>1059</v>
      </c>
    </row>
    <row r="53" customFormat="false" ht="15" hidden="false" customHeight="true" outlineLevel="0" collapsed="false">
      <c r="A53" s="6" t="n">
        <v>52</v>
      </c>
      <c r="B53" s="7" t="s">
        <v>994</v>
      </c>
      <c r="C53" s="7" t="s">
        <v>1060</v>
      </c>
      <c r="D53" s="7" t="s">
        <v>1061</v>
      </c>
      <c r="E53" s="6" t="s">
        <v>110</v>
      </c>
      <c r="F53" s="6" t="s">
        <v>110</v>
      </c>
      <c r="G53" s="6" t="s">
        <v>110</v>
      </c>
      <c r="H53" s="1" t="n">
        <v>0.5</v>
      </c>
      <c r="I53" s="7" t="s">
        <v>1062</v>
      </c>
      <c r="J53" s="7" t="s">
        <v>998</v>
      </c>
      <c r="K53" s="26" t="s">
        <v>522</v>
      </c>
      <c r="L53" s="6" t="n">
        <v>12000</v>
      </c>
      <c r="M53" s="6" t="n">
        <v>0.99</v>
      </c>
      <c r="N53" s="26" t="s">
        <v>999</v>
      </c>
      <c r="O53" s="6" t="n">
        <v>0</v>
      </c>
      <c r="Q53" s="7" t="s">
        <v>1063</v>
      </c>
    </row>
    <row r="54" customFormat="false" ht="15" hidden="false" customHeight="true" outlineLevel="0" collapsed="false">
      <c r="A54" s="4" t="n">
        <v>53</v>
      </c>
      <c r="B54" s="5" t="s">
        <v>994</v>
      </c>
      <c r="C54" s="5" t="s">
        <v>1060</v>
      </c>
      <c r="D54" s="5" t="s">
        <v>1064</v>
      </c>
      <c r="E54" s="4" t="s">
        <v>110</v>
      </c>
      <c r="F54" s="4" t="s">
        <v>110</v>
      </c>
      <c r="G54" s="4" t="s">
        <v>110</v>
      </c>
      <c r="H54" s="1" t="s">
        <v>110</v>
      </c>
      <c r="I54" s="8" t="s">
        <v>1065</v>
      </c>
      <c r="J54" s="5" t="s">
        <v>1046</v>
      </c>
      <c r="K54" s="25" t="s">
        <v>522</v>
      </c>
      <c r="L54" s="4" t="n">
        <v>2500</v>
      </c>
      <c r="M54" s="4" t="n">
        <v>0.7</v>
      </c>
      <c r="N54" s="25" t="s">
        <v>999</v>
      </c>
      <c r="O54" s="4" t="n">
        <v>0</v>
      </c>
      <c r="P54" s="1" t="s">
        <v>110</v>
      </c>
      <c r="Q54" s="5" t="s">
        <v>1066</v>
      </c>
    </row>
    <row r="55" customFormat="false" ht="15" hidden="false" customHeight="true" outlineLevel="0" collapsed="false">
      <c r="A55" s="6" t="n">
        <v>54</v>
      </c>
      <c r="B55" s="7" t="s">
        <v>994</v>
      </c>
      <c r="C55" s="7" t="s">
        <v>1060</v>
      </c>
      <c r="D55" s="7" t="s">
        <v>1067</v>
      </c>
      <c r="E55" s="6" t="s">
        <v>110</v>
      </c>
      <c r="F55" s="6" t="s">
        <v>110</v>
      </c>
      <c r="G55" s="6" t="s">
        <v>110</v>
      </c>
      <c r="H55" s="1" t="n">
        <v>0.8</v>
      </c>
      <c r="I55" s="7" t="s">
        <v>1068</v>
      </c>
      <c r="J55" s="7" t="s">
        <v>1069</v>
      </c>
      <c r="K55" s="26" t="s">
        <v>522</v>
      </c>
      <c r="L55" s="6" t="n">
        <v>5000</v>
      </c>
      <c r="M55" s="6" t="n">
        <v>0.9</v>
      </c>
      <c r="N55" s="26" t="s">
        <v>999</v>
      </c>
      <c r="O55" s="6" t="n">
        <v>0</v>
      </c>
      <c r="Q55" s="7" t="s">
        <v>1070</v>
      </c>
    </row>
    <row r="56" customFormat="false" ht="15" hidden="false" customHeight="true" outlineLevel="0" collapsed="false">
      <c r="A56" s="4" t="n">
        <v>55</v>
      </c>
      <c r="B56" s="5" t="s">
        <v>994</v>
      </c>
      <c r="C56" s="5" t="s">
        <v>1060</v>
      </c>
      <c r="D56" s="5" t="s">
        <v>1071</v>
      </c>
      <c r="E56" s="4" t="s">
        <v>110</v>
      </c>
      <c r="F56" s="4" t="s">
        <v>110</v>
      </c>
      <c r="G56" s="4" t="s">
        <v>110</v>
      </c>
      <c r="H56" s="1" t="n">
        <v>0.7</v>
      </c>
      <c r="I56" s="5" t="s">
        <v>1072</v>
      </c>
      <c r="J56" s="5" t="s">
        <v>998</v>
      </c>
      <c r="K56" s="25" t="s">
        <v>522</v>
      </c>
      <c r="L56" s="4" t="n">
        <v>8000</v>
      </c>
      <c r="M56" s="4" t="n">
        <v>0.7</v>
      </c>
      <c r="N56" s="25" t="s">
        <v>999</v>
      </c>
      <c r="O56" s="4" t="n">
        <v>0</v>
      </c>
      <c r="Q56" s="5" t="s">
        <v>1073</v>
      </c>
    </row>
    <row r="57" customFormat="false" ht="15" hidden="false" customHeight="true" outlineLevel="0" collapsed="false">
      <c r="A57" s="6" t="n">
        <v>56</v>
      </c>
      <c r="B57" s="7" t="s">
        <v>994</v>
      </c>
      <c r="C57" s="7" t="s">
        <v>1060</v>
      </c>
      <c r="D57" s="7" t="s">
        <v>1074</v>
      </c>
      <c r="E57" s="6" t="s">
        <v>110</v>
      </c>
      <c r="F57" s="6" t="s">
        <v>110</v>
      </c>
      <c r="G57" s="6" t="s">
        <v>110</v>
      </c>
      <c r="H57" s="1" t="s">
        <v>110</v>
      </c>
      <c r="I57" s="9" t="s">
        <v>1075</v>
      </c>
      <c r="J57" s="7" t="s">
        <v>998</v>
      </c>
      <c r="K57" s="26" t="s">
        <v>522</v>
      </c>
      <c r="L57" s="6" t="n">
        <v>10000</v>
      </c>
      <c r="M57" s="6" t="n">
        <v>0.5</v>
      </c>
      <c r="N57" s="26" t="s">
        <v>999</v>
      </c>
      <c r="O57" s="6" t="n">
        <v>0</v>
      </c>
      <c r="P57" s="1" t="s">
        <v>110</v>
      </c>
      <c r="Q57" s="7" t="s">
        <v>1076</v>
      </c>
    </row>
    <row r="58" customFormat="false" ht="15" hidden="false" customHeight="true" outlineLevel="0" collapsed="false">
      <c r="A58" s="4" t="n">
        <v>57</v>
      </c>
      <c r="B58" s="5" t="s">
        <v>994</v>
      </c>
      <c r="C58" s="5" t="s">
        <v>1060</v>
      </c>
      <c r="D58" s="5" t="s">
        <v>1077</v>
      </c>
      <c r="E58" s="4" t="s">
        <v>110</v>
      </c>
      <c r="F58" s="4" t="s">
        <v>110</v>
      </c>
      <c r="G58" s="4" t="s">
        <v>110</v>
      </c>
      <c r="H58" s="1" t="s">
        <v>110</v>
      </c>
      <c r="I58" s="5" t="s">
        <v>1078</v>
      </c>
      <c r="J58" s="5" t="s">
        <v>998</v>
      </c>
      <c r="K58" s="25" t="s">
        <v>522</v>
      </c>
      <c r="L58" s="4" t="n">
        <v>4500</v>
      </c>
      <c r="M58" s="4" t="n">
        <v>0.45</v>
      </c>
      <c r="N58" s="25" t="s">
        <v>999</v>
      </c>
      <c r="O58" s="4" t="n">
        <v>0</v>
      </c>
      <c r="P58" s="1" t="s">
        <v>110</v>
      </c>
      <c r="Q58" s="5" t="s">
        <v>1079</v>
      </c>
    </row>
    <row r="59" customFormat="false" ht="15" hidden="false" customHeight="true" outlineLevel="0" collapsed="false">
      <c r="A59" s="6" t="n">
        <v>58</v>
      </c>
      <c r="B59" s="7" t="s">
        <v>994</v>
      </c>
      <c r="C59" s="7" t="s">
        <v>1060</v>
      </c>
      <c r="D59" s="7" t="s">
        <v>1080</v>
      </c>
      <c r="E59" s="6" t="s">
        <v>110</v>
      </c>
      <c r="F59" s="6" t="s">
        <v>110</v>
      </c>
      <c r="G59" s="6" t="s">
        <v>110</v>
      </c>
      <c r="H59" s="1" t="s">
        <v>110</v>
      </c>
      <c r="I59" s="7" t="s">
        <v>1081</v>
      </c>
      <c r="J59" s="7" t="s">
        <v>998</v>
      </c>
      <c r="K59" s="26" t="s">
        <v>522</v>
      </c>
      <c r="L59" s="6" t="n">
        <v>7000</v>
      </c>
      <c r="M59" s="6" t="n">
        <v>0.4</v>
      </c>
      <c r="N59" s="26" t="s">
        <v>999</v>
      </c>
      <c r="O59" s="6" t="n">
        <v>0</v>
      </c>
      <c r="P59" s="1" t="s">
        <v>110</v>
      </c>
      <c r="Q59" s="7" t="s">
        <v>1082</v>
      </c>
    </row>
    <row r="60" customFormat="false" ht="15" hidden="false" customHeight="true" outlineLevel="0" collapsed="false">
      <c r="A60" s="4" t="n">
        <v>59</v>
      </c>
      <c r="B60" s="5" t="s">
        <v>1083</v>
      </c>
      <c r="C60" s="5" t="s">
        <v>1084</v>
      </c>
      <c r="D60" s="5" t="s">
        <v>1085</v>
      </c>
      <c r="E60" s="4" t="s">
        <v>110</v>
      </c>
      <c r="F60" s="4" t="s">
        <v>110</v>
      </c>
      <c r="G60" s="4" t="s">
        <v>110</v>
      </c>
      <c r="H60" s="1" t="n">
        <v>200</v>
      </c>
      <c r="I60" s="8" t="s">
        <v>1086</v>
      </c>
      <c r="J60" s="5" t="s">
        <v>1087</v>
      </c>
      <c r="K60" s="25" t="s">
        <v>522</v>
      </c>
      <c r="L60" s="4" t="n">
        <v>25000</v>
      </c>
      <c r="M60" s="4" t="n">
        <v>0</v>
      </c>
      <c r="N60" s="25" t="s">
        <v>999</v>
      </c>
      <c r="O60" s="4" t="n">
        <v>0</v>
      </c>
      <c r="Q60" s="5" t="s">
        <v>1088</v>
      </c>
    </row>
    <row r="61" customFormat="false" ht="15" hidden="false" customHeight="true" outlineLevel="0" collapsed="false">
      <c r="A61" s="6" t="n">
        <v>60</v>
      </c>
      <c r="B61" s="7" t="s">
        <v>1083</v>
      </c>
      <c r="C61" s="7" t="s">
        <v>1084</v>
      </c>
      <c r="D61" s="7" t="s">
        <v>1089</v>
      </c>
      <c r="E61" s="6" t="s">
        <v>110</v>
      </c>
      <c r="F61" s="6" t="s">
        <v>110</v>
      </c>
      <c r="G61" s="6" t="s">
        <v>110</v>
      </c>
      <c r="H61" s="1" t="n">
        <v>200</v>
      </c>
      <c r="I61" s="7" t="s">
        <v>1090</v>
      </c>
      <c r="J61" s="7" t="s">
        <v>1087</v>
      </c>
      <c r="K61" s="26" t="s">
        <v>522</v>
      </c>
      <c r="L61" s="6" t="n">
        <v>30000</v>
      </c>
      <c r="M61" s="6" t="n">
        <v>0</v>
      </c>
      <c r="N61" s="26" t="s">
        <v>999</v>
      </c>
      <c r="O61" s="6" t="n">
        <v>0</v>
      </c>
      <c r="Q61" s="7" t="s">
        <v>1091</v>
      </c>
    </row>
    <row r="62" customFormat="false" ht="15" hidden="false" customHeight="true" outlineLevel="0" collapsed="false">
      <c r="A62" s="4" t="n">
        <v>61</v>
      </c>
      <c r="B62" s="5" t="s">
        <v>1083</v>
      </c>
      <c r="C62" s="5" t="s">
        <v>1084</v>
      </c>
      <c r="D62" s="5" t="s">
        <v>1092</v>
      </c>
      <c r="E62" s="4" t="s">
        <v>110</v>
      </c>
      <c r="F62" s="4" t="s">
        <v>110</v>
      </c>
      <c r="G62" s="4" t="s">
        <v>110</v>
      </c>
      <c r="H62" s="1" t="n">
        <v>600</v>
      </c>
      <c r="I62" s="5" t="s">
        <v>1093</v>
      </c>
      <c r="J62" s="5" t="s">
        <v>1087</v>
      </c>
      <c r="K62" s="25" t="s">
        <v>522</v>
      </c>
      <c r="L62" s="4" t="n">
        <v>50000</v>
      </c>
      <c r="M62" s="4" t="n">
        <v>0</v>
      </c>
      <c r="N62" s="25" t="s">
        <v>999</v>
      </c>
      <c r="O62" s="4" t="n">
        <v>0</v>
      </c>
      <c r="Q62" s="5" t="s">
        <v>1094</v>
      </c>
    </row>
    <row r="63" customFormat="false" ht="15" hidden="false" customHeight="true" outlineLevel="0" collapsed="false">
      <c r="A63" s="6" t="n">
        <v>62</v>
      </c>
      <c r="B63" s="7" t="s">
        <v>1083</v>
      </c>
      <c r="C63" s="7" t="s">
        <v>1084</v>
      </c>
      <c r="D63" s="7" t="s">
        <v>1095</v>
      </c>
      <c r="E63" s="6" t="s">
        <v>110</v>
      </c>
      <c r="F63" s="6" t="s">
        <v>110</v>
      </c>
      <c r="G63" s="6" t="s">
        <v>110</v>
      </c>
      <c r="H63" s="1" t="n">
        <v>300</v>
      </c>
      <c r="I63" s="7" t="s">
        <v>1095</v>
      </c>
      <c r="J63" s="7" t="s">
        <v>1087</v>
      </c>
      <c r="K63" s="26" t="s">
        <v>522</v>
      </c>
      <c r="L63" s="6" t="n">
        <v>8000</v>
      </c>
      <c r="M63" s="6" t="n">
        <v>0</v>
      </c>
      <c r="N63" s="26" t="s">
        <v>999</v>
      </c>
      <c r="O63" s="6" t="n">
        <v>0</v>
      </c>
      <c r="Q63" s="7" t="s">
        <v>1096</v>
      </c>
    </row>
    <row r="64" customFormat="false" ht="26.25" hidden="false" customHeight="true" outlineLevel="0" collapsed="false">
      <c r="A64" s="4" t="n">
        <v>63</v>
      </c>
      <c r="B64" s="5" t="s">
        <v>1083</v>
      </c>
      <c r="C64" s="5" t="s">
        <v>1084</v>
      </c>
      <c r="D64" s="5" t="s">
        <v>1097</v>
      </c>
      <c r="E64" s="4" t="s">
        <v>110</v>
      </c>
      <c r="F64" s="4" t="s">
        <v>110</v>
      </c>
      <c r="G64" s="4" t="s">
        <v>110</v>
      </c>
      <c r="H64" s="1" t="s">
        <v>110</v>
      </c>
      <c r="I64" s="8" t="s">
        <v>1098</v>
      </c>
      <c r="J64" s="5" t="s">
        <v>1087</v>
      </c>
      <c r="K64" s="25" t="s">
        <v>522</v>
      </c>
      <c r="L64" s="4" t="n">
        <v>80000</v>
      </c>
      <c r="M64" s="4" t="n">
        <v>0</v>
      </c>
      <c r="N64" s="25" t="s">
        <v>999</v>
      </c>
      <c r="O64" s="4" t="n">
        <v>0</v>
      </c>
      <c r="P64" s="1" t="s">
        <v>110</v>
      </c>
      <c r="Q64" s="5" t="s">
        <v>1099</v>
      </c>
    </row>
    <row r="65" customFormat="false" ht="26.25" hidden="false" customHeight="true" outlineLevel="0" collapsed="false">
      <c r="A65" s="6" t="n">
        <v>64</v>
      </c>
      <c r="B65" s="7" t="s">
        <v>1083</v>
      </c>
      <c r="C65" s="7" t="s">
        <v>1084</v>
      </c>
      <c r="D65" s="7" t="s">
        <v>1100</v>
      </c>
      <c r="E65" s="6" t="s">
        <v>110</v>
      </c>
      <c r="F65" s="6" t="s">
        <v>110</v>
      </c>
      <c r="G65" s="6" t="s">
        <v>110</v>
      </c>
      <c r="H65" s="1" t="s">
        <v>110</v>
      </c>
      <c r="I65" s="9" t="s">
        <v>1101</v>
      </c>
      <c r="J65" s="7" t="s">
        <v>1087</v>
      </c>
      <c r="K65" s="26" t="s">
        <v>522</v>
      </c>
      <c r="L65" s="6" t="n">
        <v>120000</v>
      </c>
      <c r="M65" s="6" t="n">
        <v>0</v>
      </c>
      <c r="N65" s="26" t="s">
        <v>999</v>
      </c>
      <c r="O65" s="6" t="n">
        <v>0</v>
      </c>
      <c r="P65" s="1" t="s">
        <v>110</v>
      </c>
      <c r="Q65" s="7" t="s">
        <v>1102</v>
      </c>
    </row>
    <row r="66" customFormat="false" ht="15" hidden="false" customHeight="true" outlineLevel="0" collapsed="false">
      <c r="A66" s="4" t="n">
        <v>65</v>
      </c>
      <c r="B66" s="5" t="s">
        <v>1083</v>
      </c>
      <c r="C66" s="5" t="s">
        <v>1084</v>
      </c>
      <c r="D66" s="5" t="s">
        <v>1103</v>
      </c>
      <c r="E66" s="4" t="s">
        <v>110</v>
      </c>
      <c r="F66" s="4" t="s">
        <v>110</v>
      </c>
      <c r="G66" s="4" t="s">
        <v>110</v>
      </c>
      <c r="H66" s="1" t="s">
        <v>110</v>
      </c>
      <c r="I66" s="5" t="s">
        <v>1104</v>
      </c>
      <c r="J66" s="5" t="s">
        <v>1087</v>
      </c>
      <c r="K66" s="25" t="s">
        <v>522</v>
      </c>
      <c r="L66" s="4" t="n">
        <v>6000</v>
      </c>
      <c r="M66" s="4" t="n">
        <v>0</v>
      </c>
      <c r="N66" s="25" t="s">
        <v>999</v>
      </c>
      <c r="O66" s="4" t="n">
        <v>0</v>
      </c>
      <c r="P66" s="1" t="s">
        <v>110</v>
      </c>
      <c r="Q66" s="5" t="s">
        <v>1105</v>
      </c>
    </row>
    <row r="67" customFormat="false" ht="26.25" hidden="false" customHeight="true" outlineLevel="0" collapsed="false">
      <c r="A67" s="6" t="n">
        <v>66</v>
      </c>
      <c r="B67" s="7" t="s">
        <v>1083</v>
      </c>
      <c r="C67" s="7" t="s">
        <v>1084</v>
      </c>
      <c r="D67" s="7" t="s">
        <v>1106</v>
      </c>
      <c r="E67" s="6" t="s">
        <v>110</v>
      </c>
      <c r="F67" s="6" t="s">
        <v>110</v>
      </c>
      <c r="G67" s="6" t="s">
        <v>110</v>
      </c>
      <c r="H67" s="1" t="s">
        <v>110</v>
      </c>
      <c r="I67" s="9" t="s">
        <v>1107</v>
      </c>
      <c r="J67" s="7" t="s">
        <v>1087</v>
      </c>
      <c r="K67" s="26" t="s">
        <v>522</v>
      </c>
      <c r="L67" s="6" t="n">
        <v>15000</v>
      </c>
      <c r="M67" s="6" t="n">
        <v>0</v>
      </c>
      <c r="N67" s="26" t="s">
        <v>999</v>
      </c>
      <c r="O67" s="6" t="n">
        <v>0</v>
      </c>
      <c r="P67" s="1" t="s">
        <v>110</v>
      </c>
      <c r="Q67" s="7" t="s">
        <v>1108</v>
      </c>
    </row>
    <row r="68" customFormat="false" ht="15" hidden="false" customHeight="true" outlineLevel="0" collapsed="false">
      <c r="A68" s="4" t="n">
        <v>67</v>
      </c>
      <c r="B68" s="5" t="s">
        <v>1083</v>
      </c>
      <c r="C68" s="5" t="s">
        <v>1109</v>
      </c>
      <c r="D68" s="5" t="s">
        <v>1110</v>
      </c>
      <c r="E68" s="4" t="s">
        <v>110</v>
      </c>
      <c r="F68" s="4" t="s">
        <v>110</v>
      </c>
      <c r="G68" s="4" t="s">
        <v>110</v>
      </c>
      <c r="H68" s="1" t="n">
        <v>200</v>
      </c>
      <c r="I68" s="5" t="s">
        <v>1111</v>
      </c>
      <c r="J68" s="5" t="s">
        <v>1087</v>
      </c>
      <c r="K68" s="25" t="s">
        <v>522</v>
      </c>
      <c r="L68" s="4" t="n">
        <v>60000</v>
      </c>
      <c r="M68" s="4" t="n">
        <v>0</v>
      </c>
      <c r="N68" s="25" t="s">
        <v>999</v>
      </c>
      <c r="O68" s="4" t="n">
        <v>0</v>
      </c>
      <c r="Q68" s="5" t="s">
        <v>1112</v>
      </c>
    </row>
    <row r="69" customFormat="false" ht="15" hidden="false" customHeight="true" outlineLevel="0" collapsed="false">
      <c r="A69" s="6" t="n">
        <v>68</v>
      </c>
      <c r="B69" s="7" t="s">
        <v>1083</v>
      </c>
      <c r="C69" s="7" t="s">
        <v>1109</v>
      </c>
      <c r="D69" s="7" t="s">
        <v>1113</v>
      </c>
      <c r="E69" s="6" t="s">
        <v>110</v>
      </c>
      <c r="F69" s="6" t="s">
        <v>110</v>
      </c>
      <c r="G69" s="6" t="s">
        <v>110</v>
      </c>
      <c r="H69" s="1" t="n">
        <v>200</v>
      </c>
      <c r="I69" s="7" t="s">
        <v>1114</v>
      </c>
      <c r="J69" s="7" t="s">
        <v>1087</v>
      </c>
      <c r="K69" s="26" t="s">
        <v>522</v>
      </c>
      <c r="L69" s="6" t="n">
        <v>80000</v>
      </c>
      <c r="M69" s="6" t="n">
        <v>0</v>
      </c>
      <c r="N69" s="26" t="s">
        <v>999</v>
      </c>
      <c r="O69" s="6" t="n">
        <v>0</v>
      </c>
      <c r="Q69" s="7" t="s">
        <v>1115</v>
      </c>
    </row>
    <row r="70" customFormat="false" ht="15" hidden="false" customHeight="true" outlineLevel="0" collapsed="false">
      <c r="A70" s="4" t="n">
        <v>69</v>
      </c>
      <c r="B70" s="5" t="s">
        <v>1083</v>
      </c>
      <c r="C70" s="5" t="s">
        <v>1109</v>
      </c>
      <c r="D70" s="5" t="s">
        <v>1116</v>
      </c>
      <c r="E70" s="4" t="s">
        <v>110</v>
      </c>
      <c r="F70" s="4" t="s">
        <v>110</v>
      </c>
      <c r="G70" s="4" t="s">
        <v>110</v>
      </c>
      <c r="H70" s="1" t="n">
        <v>200</v>
      </c>
      <c r="I70" s="5" t="s">
        <v>1117</v>
      </c>
      <c r="J70" s="5" t="s">
        <v>1087</v>
      </c>
      <c r="K70" s="25" t="s">
        <v>522</v>
      </c>
      <c r="L70" s="4" t="n">
        <v>150000</v>
      </c>
      <c r="M70" s="4" t="n">
        <v>0</v>
      </c>
      <c r="N70" s="25" t="s">
        <v>999</v>
      </c>
      <c r="O70" s="4" t="n">
        <v>0</v>
      </c>
      <c r="Q70" s="5" t="s">
        <v>1118</v>
      </c>
    </row>
    <row r="71" customFormat="false" ht="15" hidden="false" customHeight="true" outlineLevel="0" collapsed="false">
      <c r="A71" s="6" t="n">
        <v>70</v>
      </c>
      <c r="B71" s="7" t="s">
        <v>1083</v>
      </c>
      <c r="C71" s="7" t="s">
        <v>1109</v>
      </c>
      <c r="D71" s="7" t="s">
        <v>1119</v>
      </c>
      <c r="E71" s="6" t="s">
        <v>110</v>
      </c>
      <c r="F71" s="6" t="s">
        <v>110</v>
      </c>
      <c r="G71" s="6" t="s">
        <v>110</v>
      </c>
      <c r="H71" s="1" t="s">
        <v>110</v>
      </c>
      <c r="I71" s="7" t="s">
        <v>1120</v>
      </c>
      <c r="J71" s="7" t="s">
        <v>1087</v>
      </c>
      <c r="K71" s="26" t="s">
        <v>522</v>
      </c>
      <c r="L71" s="6" t="n">
        <v>100000</v>
      </c>
      <c r="M71" s="6" t="n">
        <v>0</v>
      </c>
      <c r="N71" s="26" t="s">
        <v>999</v>
      </c>
      <c r="O71" s="6" t="n">
        <v>0</v>
      </c>
      <c r="P71" s="1" t="s">
        <v>110</v>
      </c>
      <c r="Q71" s="7" t="s">
        <v>1121</v>
      </c>
    </row>
    <row r="72" customFormat="false" ht="15" hidden="false" customHeight="true" outlineLevel="0" collapsed="false">
      <c r="A72" s="4" t="n">
        <v>71</v>
      </c>
      <c r="B72" s="5" t="s">
        <v>1083</v>
      </c>
      <c r="C72" s="5" t="s">
        <v>1109</v>
      </c>
      <c r="D72" s="5" t="s">
        <v>1122</v>
      </c>
      <c r="E72" s="4" t="s">
        <v>110</v>
      </c>
      <c r="F72" s="4" t="s">
        <v>110</v>
      </c>
      <c r="G72" s="4" t="s">
        <v>110</v>
      </c>
      <c r="H72" s="1" t="s">
        <v>110</v>
      </c>
      <c r="I72" s="5" t="s">
        <v>1123</v>
      </c>
      <c r="J72" s="5" t="s">
        <v>1087</v>
      </c>
      <c r="K72" s="25" t="s">
        <v>522</v>
      </c>
      <c r="L72" s="4" t="n">
        <v>200000</v>
      </c>
      <c r="M72" s="4" t="n">
        <v>0</v>
      </c>
      <c r="N72" s="25" t="s">
        <v>999</v>
      </c>
      <c r="O72" s="4" t="n">
        <v>0</v>
      </c>
      <c r="P72" s="1" t="s">
        <v>110</v>
      </c>
      <c r="Q72" s="5" t="s">
        <v>1124</v>
      </c>
    </row>
    <row r="73" customFormat="false" ht="15" hidden="false" customHeight="true" outlineLevel="0" collapsed="false">
      <c r="A73" s="6" t="n">
        <v>72</v>
      </c>
      <c r="B73" s="7" t="s">
        <v>1083</v>
      </c>
      <c r="C73" s="7" t="s">
        <v>1109</v>
      </c>
      <c r="D73" s="7" t="s">
        <v>1125</v>
      </c>
      <c r="E73" s="6" t="s">
        <v>110</v>
      </c>
      <c r="F73" s="6" t="s">
        <v>110</v>
      </c>
      <c r="G73" s="6" t="s">
        <v>110</v>
      </c>
      <c r="H73" s="1" t="s">
        <v>110</v>
      </c>
      <c r="I73" s="7" t="s">
        <v>1126</v>
      </c>
      <c r="J73" s="7" t="s">
        <v>1087</v>
      </c>
      <c r="K73" s="26" t="s">
        <v>522</v>
      </c>
      <c r="L73" s="6" t="n">
        <v>250000</v>
      </c>
      <c r="M73" s="6" t="n">
        <v>0</v>
      </c>
      <c r="N73" s="26" t="s">
        <v>999</v>
      </c>
      <c r="O73" s="6" t="n">
        <v>0</v>
      </c>
      <c r="P73" s="1" t="s">
        <v>110</v>
      </c>
      <c r="Q73" s="7" t="s">
        <v>1127</v>
      </c>
    </row>
    <row r="74" customFormat="false" ht="15" hidden="false" customHeight="true" outlineLevel="0" collapsed="false">
      <c r="A74" s="4" t="n">
        <v>73</v>
      </c>
      <c r="B74" s="5" t="s">
        <v>1083</v>
      </c>
      <c r="C74" s="5" t="s">
        <v>1109</v>
      </c>
      <c r="D74" s="5" t="s">
        <v>1128</v>
      </c>
      <c r="E74" s="4" t="s">
        <v>110</v>
      </c>
      <c r="F74" s="4" t="s">
        <v>110</v>
      </c>
      <c r="G74" s="4" t="s">
        <v>110</v>
      </c>
      <c r="H74" s="1" t="s">
        <v>110</v>
      </c>
      <c r="I74" s="5" t="s">
        <v>1129</v>
      </c>
      <c r="J74" s="5" t="s">
        <v>1087</v>
      </c>
      <c r="K74" s="25" t="s">
        <v>511</v>
      </c>
      <c r="L74" s="4" t="n">
        <v>500000</v>
      </c>
      <c r="M74" s="4" t="n">
        <v>0</v>
      </c>
      <c r="N74" s="25" t="s">
        <v>999</v>
      </c>
      <c r="O74" s="4" t="n">
        <v>0</v>
      </c>
      <c r="P74" s="1" t="s">
        <v>110</v>
      </c>
      <c r="Q74" s="5" t="s">
        <v>1130</v>
      </c>
    </row>
    <row r="75" customFormat="false" ht="15" hidden="false" customHeight="true" outlineLevel="0" collapsed="false">
      <c r="A75" s="6" t="n">
        <v>74</v>
      </c>
      <c r="B75" s="7" t="s">
        <v>1083</v>
      </c>
      <c r="C75" s="7" t="s">
        <v>1131</v>
      </c>
      <c r="D75" s="7" t="s">
        <v>1132</v>
      </c>
      <c r="E75" s="6" t="s">
        <v>110</v>
      </c>
      <c r="F75" s="6" t="s">
        <v>110</v>
      </c>
      <c r="G75" s="6" t="s">
        <v>110</v>
      </c>
      <c r="H75" s="1" t="n">
        <v>200</v>
      </c>
      <c r="I75" s="7" t="s">
        <v>1133</v>
      </c>
      <c r="J75" s="7" t="s">
        <v>1087</v>
      </c>
      <c r="K75" s="26" t="s">
        <v>522</v>
      </c>
      <c r="L75" s="6" t="n">
        <v>28000</v>
      </c>
      <c r="M75" s="6" t="n">
        <v>0</v>
      </c>
      <c r="N75" s="26" t="s">
        <v>999</v>
      </c>
      <c r="O75" s="6" t="n">
        <v>0</v>
      </c>
      <c r="Q75" s="7" t="s">
        <v>1134</v>
      </c>
    </row>
    <row r="76" customFormat="false" ht="15" hidden="false" customHeight="true" outlineLevel="0" collapsed="false">
      <c r="A76" s="4" t="n">
        <v>75</v>
      </c>
      <c r="B76" s="5" t="s">
        <v>1135</v>
      </c>
      <c r="C76" s="5" t="s">
        <v>1136</v>
      </c>
      <c r="D76" s="5" t="s">
        <v>1137</v>
      </c>
      <c r="E76" s="4" t="s">
        <v>110</v>
      </c>
      <c r="F76" s="4" t="n">
        <v>1.5</v>
      </c>
      <c r="G76" s="4" t="s">
        <v>110</v>
      </c>
      <c r="H76" s="1" t="n">
        <v>0</v>
      </c>
      <c r="I76" s="5" t="s">
        <v>1138</v>
      </c>
      <c r="J76" s="5" t="s">
        <v>998</v>
      </c>
      <c r="K76" s="25" t="s">
        <v>522</v>
      </c>
      <c r="L76" s="4" t="n">
        <v>2500</v>
      </c>
      <c r="M76" s="4" t="n">
        <v>0</v>
      </c>
      <c r="N76" s="25" t="s">
        <v>1139</v>
      </c>
      <c r="O76" s="4" t="n">
        <v>0.64</v>
      </c>
      <c r="P76" s="1" t="n">
        <v>0</v>
      </c>
      <c r="Q76" s="5" t="s">
        <v>1140</v>
      </c>
    </row>
    <row r="77" customFormat="false" ht="15" hidden="false" customHeight="true" outlineLevel="0" collapsed="false">
      <c r="A77" s="6" t="n">
        <v>76</v>
      </c>
      <c r="B77" s="7" t="s">
        <v>1135</v>
      </c>
      <c r="C77" s="7" t="s">
        <v>1136</v>
      </c>
      <c r="D77" s="7" t="s">
        <v>1141</v>
      </c>
      <c r="E77" s="6" t="s">
        <v>110</v>
      </c>
      <c r="F77" s="6" t="n">
        <v>1.5</v>
      </c>
      <c r="G77" s="6" t="s">
        <v>110</v>
      </c>
      <c r="H77" s="1" t="n">
        <v>0</v>
      </c>
      <c r="I77" s="7" t="s">
        <v>1142</v>
      </c>
      <c r="J77" s="7" t="s">
        <v>998</v>
      </c>
      <c r="K77" s="26" t="s">
        <v>522</v>
      </c>
      <c r="L77" s="6" t="n">
        <v>2200</v>
      </c>
      <c r="M77" s="6" t="n">
        <v>0</v>
      </c>
      <c r="N77" s="26" t="s">
        <v>1139</v>
      </c>
      <c r="O77" s="6" t="n">
        <v>0.6</v>
      </c>
      <c r="P77" s="1" t="n">
        <v>0</v>
      </c>
      <c r="Q77" s="7" t="s">
        <v>1143</v>
      </c>
    </row>
    <row r="78" customFormat="false" ht="15" hidden="false" customHeight="true" outlineLevel="0" collapsed="false">
      <c r="A78" s="4" t="n">
        <v>77</v>
      </c>
      <c r="B78" s="5" t="s">
        <v>1135</v>
      </c>
      <c r="C78" s="5" t="s">
        <v>1136</v>
      </c>
      <c r="D78" s="8" t="s">
        <v>1144</v>
      </c>
      <c r="E78" s="4" t="s">
        <v>110</v>
      </c>
      <c r="F78" s="4" t="n">
        <v>1.8</v>
      </c>
      <c r="G78" s="4" t="s">
        <v>110</v>
      </c>
      <c r="H78" s="1" t="n">
        <v>0</v>
      </c>
      <c r="I78" s="8" t="s">
        <v>1145</v>
      </c>
      <c r="J78" s="5" t="s">
        <v>998</v>
      </c>
      <c r="K78" s="25" t="s">
        <v>522</v>
      </c>
      <c r="L78" s="4" t="n">
        <v>3500</v>
      </c>
      <c r="M78" s="4" t="n">
        <v>0</v>
      </c>
      <c r="N78" s="25" t="s">
        <v>1139</v>
      </c>
      <c r="O78" s="4" t="n">
        <v>0.67</v>
      </c>
      <c r="P78" s="1" t="n">
        <v>0</v>
      </c>
      <c r="Q78" s="5" t="s">
        <v>1146</v>
      </c>
    </row>
    <row r="79" customFormat="false" ht="15" hidden="false" customHeight="true" outlineLevel="0" collapsed="false">
      <c r="A79" s="6" t="n">
        <v>78</v>
      </c>
      <c r="B79" s="7" t="s">
        <v>1135</v>
      </c>
      <c r="C79" s="7" t="s">
        <v>1136</v>
      </c>
      <c r="D79" s="9" t="s">
        <v>1147</v>
      </c>
      <c r="E79" s="6" t="s">
        <v>110</v>
      </c>
      <c r="F79" s="6" t="n">
        <v>1.8</v>
      </c>
      <c r="G79" s="6" t="s">
        <v>110</v>
      </c>
      <c r="H79" s="1" t="n">
        <v>0</v>
      </c>
      <c r="I79" s="9" t="s">
        <v>1148</v>
      </c>
      <c r="J79" s="7" t="s">
        <v>998</v>
      </c>
      <c r="K79" s="26" t="s">
        <v>522</v>
      </c>
      <c r="L79" s="6" t="n">
        <v>5000</v>
      </c>
      <c r="M79" s="6" t="n">
        <v>0</v>
      </c>
      <c r="N79" s="26" t="s">
        <v>1139</v>
      </c>
      <c r="O79" s="6" t="n">
        <v>0.67</v>
      </c>
      <c r="P79" s="1" t="n">
        <v>0</v>
      </c>
      <c r="Q79" s="7" t="s">
        <v>1149</v>
      </c>
    </row>
    <row r="80" customFormat="false" ht="15" hidden="false" customHeight="true" outlineLevel="0" collapsed="false">
      <c r="A80" s="4" t="n">
        <v>79</v>
      </c>
      <c r="B80" s="5" t="s">
        <v>1135</v>
      </c>
      <c r="C80" s="5" t="s">
        <v>1136</v>
      </c>
      <c r="D80" s="5" t="s">
        <v>1150</v>
      </c>
      <c r="E80" s="4" t="s">
        <v>110</v>
      </c>
      <c r="F80" s="4" t="n">
        <v>1.5</v>
      </c>
      <c r="G80" s="4" t="s">
        <v>110</v>
      </c>
      <c r="H80" s="1" t="n">
        <v>0</v>
      </c>
      <c r="I80" s="8" t="s">
        <v>1151</v>
      </c>
      <c r="J80" s="5" t="s">
        <v>998</v>
      </c>
      <c r="K80" s="25" t="s">
        <v>522</v>
      </c>
      <c r="L80" s="4" t="n">
        <v>6000</v>
      </c>
      <c r="M80" s="4" t="n">
        <v>0</v>
      </c>
      <c r="N80" s="25" t="s">
        <v>1139</v>
      </c>
      <c r="O80" s="4" t="n">
        <v>0.67</v>
      </c>
      <c r="P80" s="1" t="n">
        <v>0</v>
      </c>
      <c r="Q80" s="5" t="s">
        <v>1152</v>
      </c>
    </row>
    <row r="81" customFormat="false" ht="15" hidden="false" customHeight="true" outlineLevel="0" collapsed="false">
      <c r="A81" s="6" t="n">
        <v>80</v>
      </c>
      <c r="B81" s="7" t="s">
        <v>1135</v>
      </c>
      <c r="C81" s="7" t="s">
        <v>1136</v>
      </c>
      <c r="D81" s="7" t="s">
        <v>1153</v>
      </c>
      <c r="E81" s="6" t="s">
        <v>110</v>
      </c>
      <c r="F81" s="6" t="n">
        <v>2.5</v>
      </c>
      <c r="G81" s="6" t="s">
        <v>110</v>
      </c>
      <c r="H81" s="1" t="n">
        <v>0</v>
      </c>
      <c r="I81" s="9" t="s">
        <v>1154</v>
      </c>
      <c r="J81" s="7" t="s">
        <v>891</v>
      </c>
      <c r="K81" s="26" t="s">
        <v>522</v>
      </c>
      <c r="L81" s="6" t="n">
        <v>4000</v>
      </c>
      <c r="M81" s="6" t="n">
        <v>0</v>
      </c>
      <c r="N81" s="26" t="s">
        <v>1155</v>
      </c>
      <c r="O81" s="6" t="n">
        <v>0.5</v>
      </c>
      <c r="P81" s="1" t="n">
        <v>0</v>
      </c>
      <c r="Q81" s="7" t="s">
        <v>1156</v>
      </c>
    </row>
    <row r="82" customFormat="false" ht="15" hidden="false" customHeight="true" outlineLevel="0" collapsed="false">
      <c r="A82" s="4" t="n">
        <v>81</v>
      </c>
      <c r="B82" s="5" t="s">
        <v>1135</v>
      </c>
      <c r="C82" s="5" t="s">
        <v>1136</v>
      </c>
      <c r="D82" s="5" t="s">
        <v>1157</v>
      </c>
      <c r="E82" s="4" t="s">
        <v>110</v>
      </c>
      <c r="F82" s="4" t="n">
        <v>2.7</v>
      </c>
      <c r="G82" s="4" t="s">
        <v>110</v>
      </c>
      <c r="H82" s="1" t="n">
        <v>0</v>
      </c>
      <c r="I82" s="5" t="s">
        <v>1158</v>
      </c>
      <c r="J82" s="5" t="s">
        <v>998</v>
      </c>
      <c r="K82" s="25" t="s">
        <v>522</v>
      </c>
      <c r="L82" s="4" t="n">
        <v>8000</v>
      </c>
      <c r="M82" s="4" t="n">
        <v>0</v>
      </c>
      <c r="N82" s="25" t="s">
        <v>1159</v>
      </c>
      <c r="O82" s="4" t="n">
        <v>0.42</v>
      </c>
      <c r="P82" s="1" t="n">
        <v>0</v>
      </c>
      <c r="Q82" s="5" t="s">
        <v>1160</v>
      </c>
    </row>
    <row r="83" customFormat="false" ht="15" hidden="false" customHeight="true" outlineLevel="0" collapsed="false">
      <c r="A83" s="6" t="n">
        <v>82</v>
      </c>
      <c r="B83" s="7" t="s">
        <v>1135</v>
      </c>
      <c r="C83" s="7" t="s">
        <v>1136</v>
      </c>
      <c r="D83" s="7" t="s">
        <v>1161</v>
      </c>
      <c r="E83" s="6" t="s">
        <v>110</v>
      </c>
      <c r="F83" s="6" t="n">
        <v>1.5</v>
      </c>
      <c r="G83" s="6" t="s">
        <v>110</v>
      </c>
      <c r="H83" s="1" t="n">
        <v>0</v>
      </c>
      <c r="I83" s="7" t="s">
        <v>1162</v>
      </c>
      <c r="J83" s="7" t="s">
        <v>998</v>
      </c>
      <c r="K83" s="26" t="s">
        <v>522</v>
      </c>
      <c r="L83" s="6" t="n">
        <v>4500</v>
      </c>
      <c r="M83" s="6" t="n">
        <v>0</v>
      </c>
      <c r="N83" s="26" t="s">
        <v>1139</v>
      </c>
      <c r="O83" s="6" t="n">
        <v>0.69</v>
      </c>
      <c r="P83" s="1" t="n">
        <v>0</v>
      </c>
      <c r="Q83" s="7" t="s">
        <v>1163</v>
      </c>
    </row>
    <row r="84" customFormat="false" ht="15" hidden="false" customHeight="true" outlineLevel="0" collapsed="false">
      <c r="A84" s="4" t="n">
        <v>83</v>
      </c>
      <c r="B84" s="5" t="s">
        <v>1135</v>
      </c>
      <c r="C84" s="5" t="s">
        <v>1136</v>
      </c>
      <c r="D84" s="5" t="s">
        <v>1164</v>
      </c>
      <c r="E84" s="4" t="s">
        <v>110</v>
      </c>
      <c r="F84" s="4" t="n">
        <v>2.3</v>
      </c>
      <c r="G84" s="4" t="s">
        <v>110</v>
      </c>
      <c r="H84" s="1" t="n">
        <v>0</v>
      </c>
      <c r="I84" s="5" t="s">
        <v>1165</v>
      </c>
      <c r="J84" s="5" t="s">
        <v>998</v>
      </c>
      <c r="K84" s="25" t="s">
        <v>522</v>
      </c>
      <c r="L84" s="4" t="n">
        <v>3000</v>
      </c>
      <c r="M84" s="4" t="n">
        <v>0</v>
      </c>
      <c r="N84" s="25" t="s">
        <v>1155</v>
      </c>
      <c r="O84" s="4" t="n">
        <v>0.55</v>
      </c>
      <c r="P84" s="1" t="n">
        <v>0</v>
      </c>
      <c r="Q84" s="5" t="s">
        <v>1166</v>
      </c>
    </row>
    <row r="85" customFormat="false" ht="15" hidden="false" customHeight="true" outlineLevel="0" collapsed="false">
      <c r="A85" s="6" t="n">
        <v>84</v>
      </c>
      <c r="B85" s="7" t="s">
        <v>1135</v>
      </c>
      <c r="C85" s="7" t="s">
        <v>1136</v>
      </c>
      <c r="D85" s="7" t="s">
        <v>1167</v>
      </c>
      <c r="E85" s="6" t="s">
        <v>110</v>
      </c>
      <c r="F85" s="6" t="n">
        <v>2.5</v>
      </c>
      <c r="G85" s="6" t="s">
        <v>110</v>
      </c>
      <c r="H85" s="1" t="n">
        <v>0</v>
      </c>
      <c r="I85" s="9" t="s">
        <v>1168</v>
      </c>
      <c r="J85" s="7" t="s">
        <v>1169</v>
      </c>
      <c r="K85" s="26" t="s">
        <v>522</v>
      </c>
      <c r="L85" s="6" t="n">
        <v>5000</v>
      </c>
      <c r="M85" s="6" t="n">
        <v>0</v>
      </c>
      <c r="N85" s="26" t="s">
        <v>1170</v>
      </c>
      <c r="O85" s="6" t="n">
        <v>0.28</v>
      </c>
      <c r="P85" s="1" t="n">
        <v>0</v>
      </c>
      <c r="Q85" s="7" t="s">
        <v>1171</v>
      </c>
    </row>
    <row r="86" customFormat="false" ht="15" hidden="false" customHeight="true" outlineLevel="0" collapsed="false">
      <c r="A86" s="4" t="n">
        <v>85</v>
      </c>
      <c r="B86" s="5" t="s">
        <v>1135</v>
      </c>
      <c r="C86" s="5" t="s">
        <v>1136</v>
      </c>
      <c r="D86" s="5" t="s">
        <v>1172</v>
      </c>
      <c r="E86" s="4" t="s">
        <v>110</v>
      </c>
      <c r="F86" s="4" t="n">
        <v>2.4</v>
      </c>
      <c r="G86" s="4" t="s">
        <v>110</v>
      </c>
      <c r="H86" s="1" t="n">
        <v>0</v>
      </c>
      <c r="I86" s="5" t="s">
        <v>1173</v>
      </c>
      <c r="J86" s="5" t="s">
        <v>1169</v>
      </c>
      <c r="K86" s="25" t="s">
        <v>522</v>
      </c>
      <c r="L86" s="4" t="n">
        <v>2000</v>
      </c>
      <c r="M86" s="4" t="n">
        <v>0</v>
      </c>
      <c r="N86" s="25" t="s">
        <v>1155</v>
      </c>
      <c r="O86" s="4" t="n">
        <v>0.5</v>
      </c>
      <c r="P86" s="1" t="n">
        <v>0</v>
      </c>
      <c r="Q86" s="5" t="s">
        <v>1174</v>
      </c>
    </row>
    <row r="87" customFormat="false" ht="26.25" hidden="false" customHeight="true" outlineLevel="0" collapsed="false">
      <c r="A87" s="6" t="n">
        <v>86</v>
      </c>
      <c r="B87" s="7" t="s">
        <v>1135</v>
      </c>
      <c r="C87" s="7" t="s">
        <v>1136</v>
      </c>
      <c r="D87" s="7" t="s">
        <v>1175</v>
      </c>
      <c r="E87" s="6" t="s">
        <v>110</v>
      </c>
      <c r="F87" s="6" t="n">
        <v>1</v>
      </c>
      <c r="G87" s="6" t="s">
        <v>110</v>
      </c>
      <c r="H87" s="1" t="n">
        <v>0</v>
      </c>
      <c r="I87" s="7" t="s">
        <v>1176</v>
      </c>
      <c r="J87" s="7" t="s">
        <v>1169</v>
      </c>
      <c r="K87" s="26" t="s">
        <v>522</v>
      </c>
      <c r="L87" s="6" t="n">
        <v>2000</v>
      </c>
      <c r="M87" s="6" t="n">
        <v>0</v>
      </c>
      <c r="N87" s="26" t="s">
        <v>1177</v>
      </c>
      <c r="O87" s="6" t="n">
        <v>0.77</v>
      </c>
      <c r="P87" s="1" t="n">
        <v>0</v>
      </c>
      <c r="Q87" s="7" t="s">
        <v>1178</v>
      </c>
    </row>
    <row r="88" customFormat="false" ht="15" hidden="false" customHeight="true" outlineLevel="0" collapsed="false">
      <c r="A88" s="4" t="n">
        <v>87</v>
      </c>
      <c r="B88" s="5" t="s">
        <v>1135</v>
      </c>
      <c r="C88" s="5" t="s">
        <v>1136</v>
      </c>
      <c r="D88" s="5" t="s">
        <v>1179</v>
      </c>
      <c r="E88" s="4" t="s">
        <v>110</v>
      </c>
      <c r="F88" s="4" t="n">
        <v>2.4</v>
      </c>
      <c r="G88" s="4" t="s">
        <v>110</v>
      </c>
      <c r="H88" s="1" t="n">
        <v>0</v>
      </c>
      <c r="I88" s="8" t="s">
        <v>1180</v>
      </c>
      <c r="J88" s="5" t="s">
        <v>998</v>
      </c>
      <c r="K88" s="25" t="s">
        <v>1181</v>
      </c>
      <c r="L88" s="4" t="n">
        <v>12000</v>
      </c>
      <c r="M88" s="4" t="n">
        <v>0</v>
      </c>
      <c r="N88" s="25" t="s">
        <v>1155</v>
      </c>
      <c r="O88" s="4" t="n">
        <v>0.57</v>
      </c>
      <c r="P88" s="1" t="n">
        <v>0</v>
      </c>
      <c r="Q88" s="5" t="s">
        <v>1182</v>
      </c>
    </row>
    <row r="89" customFormat="false" ht="15" hidden="false" customHeight="true" outlineLevel="0" collapsed="false">
      <c r="A89" s="6" t="n">
        <v>88</v>
      </c>
      <c r="B89" s="7" t="s">
        <v>1135</v>
      </c>
      <c r="C89" s="7" t="s">
        <v>1136</v>
      </c>
      <c r="D89" s="7" t="s">
        <v>1183</v>
      </c>
      <c r="E89" s="6" t="s">
        <v>110</v>
      </c>
      <c r="F89" s="6" t="n">
        <v>2.5</v>
      </c>
      <c r="G89" s="6" t="s">
        <v>110</v>
      </c>
      <c r="H89" s="1" t="n">
        <v>0</v>
      </c>
      <c r="I89" s="7" t="s">
        <v>1184</v>
      </c>
      <c r="J89" s="7" t="s">
        <v>998</v>
      </c>
      <c r="K89" s="26" t="s">
        <v>1181</v>
      </c>
      <c r="L89" s="6" t="n">
        <v>8000</v>
      </c>
      <c r="M89" s="6" t="n">
        <v>0</v>
      </c>
      <c r="N89" s="26" t="s">
        <v>1155</v>
      </c>
      <c r="O89" s="6" t="n">
        <v>0.53</v>
      </c>
      <c r="P89" s="1" t="n">
        <v>0</v>
      </c>
      <c r="Q89" s="7" t="s">
        <v>1185</v>
      </c>
    </row>
    <row r="90" customFormat="false" ht="15" hidden="false" customHeight="true" outlineLevel="0" collapsed="false">
      <c r="A90" s="4" t="n">
        <v>89</v>
      </c>
      <c r="B90" s="5" t="s">
        <v>1135</v>
      </c>
      <c r="C90" s="5" t="s">
        <v>1136</v>
      </c>
      <c r="D90" s="5" t="s">
        <v>1186</v>
      </c>
      <c r="E90" s="4" t="s">
        <v>110</v>
      </c>
      <c r="F90" s="4" t="n">
        <v>8.3</v>
      </c>
      <c r="G90" s="4" t="s">
        <v>110</v>
      </c>
      <c r="H90" s="1" t="n">
        <v>0</v>
      </c>
      <c r="I90" s="8" t="s">
        <v>1187</v>
      </c>
      <c r="J90" s="5" t="s">
        <v>998</v>
      </c>
      <c r="K90" s="25" t="s">
        <v>522</v>
      </c>
      <c r="L90" s="4" t="n">
        <v>1500</v>
      </c>
      <c r="M90" s="4" t="n">
        <v>0</v>
      </c>
      <c r="N90" s="4" t="s">
        <v>1188</v>
      </c>
      <c r="O90" s="4" t="n">
        <v>0</v>
      </c>
      <c r="P90" s="1" t="n">
        <v>0</v>
      </c>
      <c r="Q90" s="5" t="s">
        <v>1189</v>
      </c>
    </row>
    <row r="91" customFormat="false" ht="15" hidden="false" customHeight="true" outlineLevel="0" collapsed="false">
      <c r="A91" s="6" t="n">
        <v>90</v>
      </c>
      <c r="B91" s="7" t="s">
        <v>1135</v>
      </c>
      <c r="C91" s="9" t="s">
        <v>1190</v>
      </c>
      <c r="D91" s="7" t="s">
        <v>1191</v>
      </c>
      <c r="E91" s="6" t="s">
        <v>110</v>
      </c>
      <c r="F91" s="6" t="n">
        <v>8</v>
      </c>
      <c r="G91" s="6" t="s">
        <v>110</v>
      </c>
      <c r="H91" s="1" t="n">
        <v>0</v>
      </c>
      <c r="I91" s="7" t="s">
        <v>1192</v>
      </c>
      <c r="J91" s="7" t="s">
        <v>998</v>
      </c>
      <c r="K91" s="26" t="s">
        <v>522</v>
      </c>
      <c r="L91" s="6" t="n">
        <v>3000</v>
      </c>
      <c r="M91" s="6" t="n">
        <v>0</v>
      </c>
      <c r="N91" s="6" t="s">
        <v>1193</v>
      </c>
      <c r="O91" s="6" t="n">
        <v>0</v>
      </c>
      <c r="P91" s="1" t="n">
        <v>0</v>
      </c>
      <c r="Q91" s="7" t="s">
        <v>1194</v>
      </c>
    </row>
    <row r="92" customFormat="false" ht="15" hidden="false" customHeight="true" outlineLevel="0" collapsed="false">
      <c r="A92" s="4" t="n">
        <v>91</v>
      </c>
      <c r="B92" s="5" t="s">
        <v>1135</v>
      </c>
      <c r="C92" s="8" t="s">
        <v>1190</v>
      </c>
      <c r="D92" s="5" t="s">
        <v>1195</v>
      </c>
      <c r="E92" s="4" t="s">
        <v>110</v>
      </c>
      <c r="F92" s="4" t="n">
        <v>8.5</v>
      </c>
      <c r="G92" s="4" t="s">
        <v>110</v>
      </c>
      <c r="H92" s="1" t="n">
        <v>0</v>
      </c>
      <c r="I92" s="5" t="s">
        <v>1196</v>
      </c>
      <c r="J92" s="5" t="s">
        <v>998</v>
      </c>
      <c r="K92" s="25" t="s">
        <v>522</v>
      </c>
      <c r="L92" s="4" t="n">
        <v>5000</v>
      </c>
      <c r="M92" s="4" t="n">
        <v>0</v>
      </c>
      <c r="N92" s="4" t="s">
        <v>1193</v>
      </c>
      <c r="O92" s="4" t="n">
        <v>0</v>
      </c>
      <c r="P92" s="1" t="n">
        <v>0</v>
      </c>
      <c r="Q92" s="8" t="s">
        <v>1197</v>
      </c>
    </row>
    <row r="93" customFormat="false" ht="15" hidden="false" customHeight="true" outlineLevel="0" collapsed="false">
      <c r="A93" s="6" t="n">
        <v>92</v>
      </c>
      <c r="B93" s="7" t="s">
        <v>1135</v>
      </c>
      <c r="C93" s="9" t="s">
        <v>1190</v>
      </c>
      <c r="D93" s="7" t="s">
        <v>1198</v>
      </c>
      <c r="E93" s="6" t="s">
        <v>110</v>
      </c>
      <c r="F93" s="6" t="n">
        <v>9</v>
      </c>
      <c r="G93" s="6" t="s">
        <v>110</v>
      </c>
      <c r="H93" s="1" t="n">
        <v>0</v>
      </c>
      <c r="I93" s="7" t="s">
        <v>1199</v>
      </c>
      <c r="J93" s="7" t="s">
        <v>998</v>
      </c>
      <c r="K93" s="26" t="s">
        <v>522</v>
      </c>
      <c r="L93" s="6" t="n">
        <v>2500</v>
      </c>
      <c r="M93" s="6" t="n">
        <v>0</v>
      </c>
      <c r="N93" s="6" t="s">
        <v>1188</v>
      </c>
      <c r="O93" s="6" t="n">
        <v>0</v>
      </c>
      <c r="P93" s="1" t="n">
        <v>0</v>
      </c>
      <c r="Q93" s="9" t="s">
        <v>1200</v>
      </c>
    </row>
    <row r="94" customFormat="false" ht="15" hidden="false" customHeight="true" outlineLevel="0" collapsed="false">
      <c r="A94" s="4" t="n">
        <v>93</v>
      </c>
      <c r="B94" s="5" t="s">
        <v>1135</v>
      </c>
      <c r="C94" s="8" t="s">
        <v>1190</v>
      </c>
      <c r="D94" s="5" t="s">
        <v>1201</v>
      </c>
      <c r="E94" s="4" t="s">
        <v>110</v>
      </c>
      <c r="F94" s="4" t="n">
        <v>9.5</v>
      </c>
      <c r="G94" s="4" t="s">
        <v>110</v>
      </c>
      <c r="H94" s="1" t="n">
        <v>0</v>
      </c>
      <c r="I94" s="8" t="s">
        <v>1202</v>
      </c>
      <c r="J94" s="5" t="s">
        <v>998</v>
      </c>
      <c r="K94" s="25" t="s">
        <v>522</v>
      </c>
      <c r="L94" s="4" t="n">
        <v>1000</v>
      </c>
      <c r="M94" s="4" t="n">
        <v>0</v>
      </c>
      <c r="N94" s="4" t="s">
        <v>1203</v>
      </c>
      <c r="O94" s="4" t="n">
        <v>0</v>
      </c>
      <c r="P94" s="1" t="n">
        <v>0</v>
      </c>
      <c r="Q94" s="5" t="s">
        <v>1204</v>
      </c>
    </row>
    <row r="95" customFormat="false" ht="15" hidden="false" customHeight="true" outlineLevel="0" collapsed="false">
      <c r="A95" s="6" t="n">
        <v>94</v>
      </c>
      <c r="B95" s="7" t="s">
        <v>1205</v>
      </c>
      <c r="C95" s="7" t="s">
        <v>1205</v>
      </c>
      <c r="D95" s="7" t="s">
        <v>1206</v>
      </c>
      <c r="E95" s="6" t="s">
        <v>110</v>
      </c>
      <c r="F95" s="6" t="s">
        <v>110</v>
      </c>
      <c r="G95" s="6" t="s">
        <v>110</v>
      </c>
      <c r="H95" s="1" t="n">
        <v>0</v>
      </c>
      <c r="I95" s="7" t="s">
        <v>1207</v>
      </c>
      <c r="J95" s="7" t="s">
        <v>1208</v>
      </c>
      <c r="K95" s="26" t="s">
        <v>1209</v>
      </c>
      <c r="L95" s="6" t="n">
        <v>40000</v>
      </c>
      <c r="M95" s="6" t="n">
        <v>0</v>
      </c>
      <c r="N95" s="26" t="s">
        <v>999</v>
      </c>
      <c r="O95" s="6" t="n">
        <v>0</v>
      </c>
      <c r="P95" s="1" t="n">
        <v>0</v>
      </c>
      <c r="Q95" s="7" t="s">
        <v>1210</v>
      </c>
    </row>
    <row r="96" customFormat="false" ht="15" hidden="false" customHeight="true" outlineLevel="0" collapsed="false">
      <c r="A96" s="4" t="n">
        <v>95</v>
      </c>
      <c r="B96" s="5" t="s">
        <v>1205</v>
      </c>
      <c r="C96" s="5" t="s">
        <v>1205</v>
      </c>
      <c r="D96" s="5" t="s">
        <v>1211</v>
      </c>
      <c r="E96" s="4" t="s">
        <v>110</v>
      </c>
      <c r="F96" s="4" t="s">
        <v>110</v>
      </c>
      <c r="G96" s="4" t="s">
        <v>110</v>
      </c>
      <c r="H96" s="1" t="n">
        <v>0</v>
      </c>
      <c r="I96" s="5" t="s">
        <v>1212</v>
      </c>
      <c r="J96" s="5" t="s">
        <v>1208</v>
      </c>
      <c r="K96" s="25" t="s">
        <v>1209</v>
      </c>
      <c r="L96" s="4" t="n">
        <v>40000</v>
      </c>
      <c r="M96" s="4" t="n">
        <v>0</v>
      </c>
      <c r="N96" s="25" t="s">
        <v>999</v>
      </c>
      <c r="O96" s="4" t="n">
        <v>0</v>
      </c>
      <c r="P96" s="1" t="n">
        <v>0</v>
      </c>
      <c r="Q96" s="5" t="s">
        <v>1210</v>
      </c>
    </row>
    <row r="97" customFormat="false" ht="15" hidden="false" customHeight="true" outlineLevel="0" collapsed="false">
      <c r="A97" s="6" t="n">
        <v>96</v>
      </c>
      <c r="B97" s="7" t="s">
        <v>1205</v>
      </c>
      <c r="C97" s="7" t="s">
        <v>1205</v>
      </c>
      <c r="D97" s="7" t="s">
        <v>1213</v>
      </c>
      <c r="E97" s="6" t="s">
        <v>110</v>
      </c>
      <c r="F97" s="6" t="s">
        <v>110</v>
      </c>
      <c r="G97" s="6" t="s">
        <v>110</v>
      </c>
      <c r="H97" s="1" t="n">
        <v>0</v>
      </c>
      <c r="I97" s="7" t="s">
        <v>1214</v>
      </c>
      <c r="J97" s="7" t="s">
        <v>1208</v>
      </c>
      <c r="K97" s="26" t="s">
        <v>1209</v>
      </c>
      <c r="L97" s="6" t="n">
        <v>40000</v>
      </c>
      <c r="M97" s="6" t="n">
        <v>0</v>
      </c>
      <c r="N97" s="26" t="s">
        <v>999</v>
      </c>
      <c r="O97" s="6" t="n">
        <v>0</v>
      </c>
      <c r="P97" s="1" t="n">
        <v>0</v>
      </c>
      <c r="Q97" s="7" t="s">
        <v>1210</v>
      </c>
    </row>
    <row r="98" customFormat="false" ht="15" hidden="false" customHeight="true" outlineLevel="0" collapsed="false">
      <c r="A98" s="4" t="n">
        <v>97</v>
      </c>
      <c r="B98" s="5" t="s">
        <v>1205</v>
      </c>
      <c r="C98" s="5" t="s">
        <v>1205</v>
      </c>
      <c r="D98" s="5" t="s">
        <v>1215</v>
      </c>
      <c r="E98" s="4" t="s">
        <v>110</v>
      </c>
      <c r="F98" s="4" t="s">
        <v>110</v>
      </c>
      <c r="G98" s="4" t="s">
        <v>110</v>
      </c>
      <c r="H98" s="1" t="n">
        <v>0</v>
      </c>
      <c r="I98" s="5" t="s">
        <v>1216</v>
      </c>
      <c r="J98" s="5" t="s">
        <v>1208</v>
      </c>
      <c r="K98" s="25" t="s">
        <v>1209</v>
      </c>
      <c r="L98" s="4" t="n">
        <v>40000</v>
      </c>
      <c r="M98" s="4" t="n">
        <v>0</v>
      </c>
      <c r="N98" s="25" t="s">
        <v>999</v>
      </c>
      <c r="O98" s="4" t="n">
        <v>0</v>
      </c>
      <c r="P98" s="1" t="n">
        <v>0</v>
      </c>
      <c r="Q98" s="5" t="s">
        <v>1210</v>
      </c>
    </row>
    <row r="99" customFormat="false" ht="15" hidden="false" customHeight="true" outlineLevel="0" collapsed="false">
      <c r="A99" s="6" t="n">
        <v>98</v>
      </c>
      <c r="B99" s="7" t="s">
        <v>1205</v>
      </c>
      <c r="C99" s="7" t="s">
        <v>1205</v>
      </c>
      <c r="D99" s="7" t="s">
        <v>1217</v>
      </c>
      <c r="E99" s="6" t="s">
        <v>110</v>
      </c>
      <c r="F99" s="6" t="s">
        <v>110</v>
      </c>
      <c r="G99" s="6" t="s">
        <v>110</v>
      </c>
      <c r="H99" s="1" t="n">
        <v>0</v>
      </c>
      <c r="I99" s="7" t="s">
        <v>1218</v>
      </c>
      <c r="J99" s="7" t="s">
        <v>1208</v>
      </c>
      <c r="K99" s="26" t="s">
        <v>1209</v>
      </c>
      <c r="L99" s="6" t="n">
        <v>40000</v>
      </c>
      <c r="M99" s="6" t="n">
        <v>0</v>
      </c>
      <c r="N99" s="26" t="s">
        <v>999</v>
      </c>
      <c r="O99" s="6" t="n">
        <v>0</v>
      </c>
      <c r="P99" s="1" t="n">
        <v>0</v>
      </c>
      <c r="Q99" s="7" t="s">
        <v>1210</v>
      </c>
    </row>
    <row r="100" customFormat="false" ht="15" hidden="false" customHeight="true" outlineLevel="0" collapsed="false">
      <c r="A100" s="4" t="n">
        <v>99</v>
      </c>
      <c r="B100" s="5" t="s">
        <v>1205</v>
      </c>
      <c r="C100" s="5" t="s">
        <v>1205</v>
      </c>
      <c r="D100" s="5" t="s">
        <v>1219</v>
      </c>
      <c r="E100" s="4" t="s">
        <v>110</v>
      </c>
      <c r="F100" s="4" t="s">
        <v>110</v>
      </c>
      <c r="G100" s="4" t="s">
        <v>110</v>
      </c>
      <c r="H100" s="1" t="n">
        <v>0</v>
      </c>
      <c r="I100" s="5" t="s">
        <v>1220</v>
      </c>
      <c r="J100" s="5" t="s">
        <v>1208</v>
      </c>
      <c r="K100" s="25" t="s">
        <v>1209</v>
      </c>
      <c r="L100" s="4" t="n">
        <v>40000</v>
      </c>
      <c r="M100" s="4" t="n">
        <v>0</v>
      </c>
      <c r="N100" s="25" t="s">
        <v>999</v>
      </c>
      <c r="O100" s="4" t="n">
        <v>0</v>
      </c>
      <c r="P100" s="1" t="n">
        <v>0</v>
      </c>
      <c r="Q100" s="5" t="s">
        <v>1210</v>
      </c>
    </row>
    <row r="101" customFormat="false" ht="15" hidden="false" customHeight="true" outlineLevel="0" collapsed="false">
      <c r="A101" s="6" t="n">
        <v>100</v>
      </c>
      <c r="B101" s="7" t="s">
        <v>1205</v>
      </c>
      <c r="C101" s="7" t="s">
        <v>1205</v>
      </c>
      <c r="D101" s="7" t="s">
        <v>1221</v>
      </c>
      <c r="E101" s="6" t="s">
        <v>110</v>
      </c>
      <c r="F101" s="6" t="s">
        <v>110</v>
      </c>
      <c r="G101" s="6" t="s">
        <v>110</v>
      </c>
      <c r="H101" s="1" t="n">
        <v>0</v>
      </c>
      <c r="I101" s="7" t="s">
        <v>1222</v>
      </c>
      <c r="J101" s="7" t="s">
        <v>1208</v>
      </c>
      <c r="K101" s="26" t="s">
        <v>1209</v>
      </c>
      <c r="L101" s="6" t="n">
        <v>40000</v>
      </c>
      <c r="M101" s="6" t="n">
        <v>0</v>
      </c>
      <c r="N101" s="26" t="s">
        <v>999</v>
      </c>
      <c r="O101" s="6" t="n">
        <v>0</v>
      </c>
      <c r="P101" s="1" t="n">
        <v>0</v>
      </c>
      <c r="Q101" s="7" t="s">
        <v>1210</v>
      </c>
    </row>
    <row r="102" customFormat="false" ht="15" hidden="false" customHeight="true" outlineLevel="0" collapsed="false">
      <c r="A102" s="4" t="n">
        <v>101</v>
      </c>
      <c r="B102" s="5" t="s">
        <v>1205</v>
      </c>
      <c r="C102" s="5" t="s">
        <v>1205</v>
      </c>
      <c r="D102" s="5" t="s">
        <v>1223</v>
      </c>
      <c r="E102" s="4" t="s">
        <v>110</v>
      </c>
      <c r="F102" s="4" t="s">
        <v>110</v>
      </c>
      <c r="G102" s="4" t="s">
        <v>110</v>
      </c>
      <c r="H102" s="1" t="n">
        <v>0</v>
      </c>
      <c r="I102" s="8" t="s">
        <v>1224</v>
      </c>
      <c r="J102" s="5" t="s">
        <v>1208</v>
      </c>
      <c r="K102" s="25" t="s">
        <v>1209</v>
      </c>
      <c r="L102" s="4" t="n">
        <v>40000</v>
      </c>
      <c r="M102" s="4" t="n">
        <v>0</v>
      </c>
      <c r="N102" s="25" t="s">
        <v>999</v>
      </c>
      <c r="O102" s="4" t="n">
        <v>0</v>
      </c>
      <c r="P102" s="1" t="n">
        <v>0</v>
      </c>
      <c r="Q102" s="5" t="s">
        <v>1210</v>
      </c>
    </row>
    <row r="103" customFormat="false" ht="15" hidden="false" customHeight="true" outlineLevel="0" collapsed="false">
      <c r="A103" s="6" t="n">
        <v>102</v>
      </c>
      <c r="B103" s="7" t="s">
        <v>1205</v>
      </c>
      <c r="C103" s="7" t="s">
        <v>1205</v>
      </c>
      <c r="D103" s="7" t="s">
        <v>1225</v>
      </c>
      <c r="E103" s="6" t="s">
        <v>110</v>
      </c>
      <c r="F103" s="6" t="s">
        <v>110</v>
      </c>
      <c r="G103" s="6" t="s">
        <v>110</v>
      </c>
      <c r="H103" s="1" t="n">
        <v>0</v>
      </c>
      <c r="I103" s="7" t="s">
        <v>1226</v>
      </c>
      <c r="J103" s="7" t="s">
        <v>1208</v>
      </c>
      <c r="K103" s="26" t="s">
        <v>1209</v>
      </c>
      <c r="L103" s="6" t="n">
        <v>40000</v>
      </c>
      <c r="M103" s="6" t="n">
        <v>0</v>
      </c>
      <c r="N103" s="26" t="s">
        <v>999</v>
      </c>
      <c r="O103" s="6" t="n">
        <v>0</v>
      </c>
      <c r="P103" s="1" t="n">
        <v>0</v>
      </c>
      <c r="Q103" s="7" t="s">
        <v>1210</v>
      </c>
    </row>
    <row r="104" customFormat="false" ht="15" hidden="false" customHeight="true" outlineLevel="0" collapsed="false">
      <c r="A104" s="4" t="n">
        <v>103</v>
      </c>
      <c r="B104" s="5" t="s">
        <v>1205</v>
      </c>
      <c r="C104" s="5" t="s">
        <v>1205</v>
      </c>
      <c r="D104" s="5" t="s">
        <v>1227</v>
      </c>
      <c r="E104" s="4" t="s">
        <v>110</v>
      </c>
      <c r="F104" s="4" t="s">
        <v>110</v>
      </c>
      <c r="G104" s="4" t="s">
        <v>110</v>
      </c>
      <c r="H104" s="1" t="n">
        <v>0</v>
      </c>
      <c r="I104" s="5" t="s">
        <v>1226</v>
      </c>
      <c r="J104" s="5" t="s">
        <v>1208</v>
      </c>
      <c r="K104" s="25" t="s">
        <v>1209</v>
      </c>
      <c r="L104" s="4" t="n">
        <v>40000</v>
      </c>
      <c r="M104" s="4" t="n">
        <v>0</v>
      </c>
      <c r="N104" s="25" t="s">
        <v>999</v>
      </c>
      <c r="O104" s="4" t="n">
        <v>0</v>
      </c>
      <c r="P104" s="1" t="n">
        <v>0</v>
      </c>
      <c r="Q104" s="5" t="s">
        <v>1210</v>
      </c>
    </row>
    <row r="105" customFormat="false" ht="15" hidden="false" customHeight="true" outlineLevel="0" collapsed="false">
      <c r="A105" s="6" t="n">
        <v>104</v>
      </c>
      <c r="B105" s="7" t="s">
        <v>1205</v>
      </c>
      <c r="C105" s="7" t="s">
        <v>1205</v>
      </c>
      <c r="D105" s="7" t="s">
        <v>1228</v>
      </c>
      <c r="E105" s="6" t="s">
        <v>110</v>
      </c>
      <c r="F105" s="6" t="s">
        <v>110</v>
      </c>
      <c r="G105" s="6" t="s">
        <v>110</v>
      </c>
      <c r="H105" s="1" t="n">
        <v>0</v>
      </c>
      <c r="I105" s="7" t="s">
        <v>1229</v>
      </c>
      <c r="J105" s="7" t="s">
        <v>1208</v>
      </c>
      <c r="K105" s="26" t="s">
        <v>1209</v>
      </c>
      <c r="L105" s="6" t="n">
        <v>40000</v>
      </c>
      <c r="M105" s="6" t="n">
        <v>0</v>
      </c>
      <c r="N105" s="26" t="s">
        <v>999</v>
      </c>
      <c r="O105" s="6" t="n">
        <v>0</v>
      </c>
      <c r="P105" s="1" t="n">
        <v>0</v>
      </c>
      <c r="Q105" s="7" t="s">
        <v>1210</v>
      </c>
    </row>
    <row r="106" customFormat="false" ht="15" hidden="false" customHeight="true" outlineLevel="0" collapsed="false">
      <c r="A106" s="4" t="n">
        <v>105</v>
      </c>
      <c r="B106" s="5" t="s">
        <v>1205</v>
      </c>
      <c r="C106" s="5" t="s">
        <v>1205</v>
      </c>
      <c r="D106" s="5" t="s">
        <v>1230</v>
      </c>
      <c r="E106" s="4" t="s">
        <v>110</v>
      </c>
      <c r="F106" s="4" t="s">
        <v>110</v>
      </c>
      <c r="G106" s="4" t="s">
        <v>110</v>
      </c>
      <c r="H106" s="1" t="n">
        <v>0</v>
      </c>
      <c r="I106" s="5" t="s">
        <v>1231</v>
      </c>
      <c r="J106" s="5" t="s">
        <v>1208</v>
      </c>
      <c r="K106" s="25" t="s">
        <v>1209</v>
      </c>
      <c r="L106" s="4" t="n">
        <v>40000</v>
      </c>
      <c r="M106" s="4" t="n">
        <v>0</v>
      </c>
      <c r="N106" s="25" t="s">
        <v>999</v>
      </c>
      <c r="O106" s="4" t="n">
        <v>0</v>
      </c>
      <c r="P106" s="1" t="n">
        <v>0</v>
      </c>
      <c r="Q106" s="5" t="s">
        <v>1210</v>
      </c>
    </row>
    <row r="107" customFormat="false" ht="15" hidden="false" customHeight="true" outlineLevel="0" collapsed="false">
      <c r="A107" s="6" t="n">
        <v>106</v>
      </c>
      <c r="B107" s="7" t="s">
        <v>1205</v>
      </c>
      <c r="C107" s="7" t="s">
        <v>1205</v>
      </c>
      <c r="D107" s="7" t="s">
        <v>1232</v>
      </c>
      <c r="E107" s="6" t="s">
        <v>110</v>
      </c>
      <c r="F107" s="6" t="s">
        <v>110</v>
      </c>
      <c r="G107" s="6" t="s">
        <v>110</v>
      </c>
      <c r="H107" s="1" t="n">
        <v>0</v>
      </c>
      <c r="I107" s="7" t="s">
        <v>1233</v>
      </c>
      <c r="J107" s="7" t="s">
        <v>1208</v>
      </c>
      <c r="K107" s="26" t="s">
        <v>1209</v>
      </c>
      <c r="L107" s="6" t="n">
        <v>40000</v>
      </c>
      <c r="M107" s="6" t="n">
        <v>0</v>
      </c>
      <c r="N107" s="26" t="s">
        <v>999</v>
      </c>
      <c r="O107" s="6" t="n">
        <v>0</v>
      </c>
      <c r="P107" s="1" t="n">
        <v>0</v>
      </c>
      <c r="Q107" s="7" t="s">
        <v>1210</v>
      </c>
    </row>
    <row r="108" customFormat="false" ht="15" hidden="false" customHeight="true" outlineLevel="0" collapsed="false">
      <c r="A108" s="4" t="n">
        <v>107</v>
      </c>
      <c r="B108" s="5" t="s">
        <v>1205</v>
      </c>
      <c r="C108" s="5" t="s">
        <v>1205</v>
      </c>
      <c r="D108" s="5" t="s">
        <v>1234</v>
      </c>
      <c r="E108" s="4" t="s">
        <v>110</v>
      </c>
      <c r="F108" s="4" t="s">
        <v>110</v>
      </c>
      <c r="G108" s="4" t="s">
        <v>110</v>
      </c>
      <c r="H108" s="1" t="n">
        <v>0</v>
      </c>
      <c r="I108" s="5" t="s">
        <v>1235</v>
      </c>
      <c r="J108" s="5" t="s">
        <v>1208</v>
      </c>
      <c r="K108" s="25" t="s">
        <v>1209</v>
      </c>
      <c r="L108" s="4" t="n">
        <v>40000</v>
      </c>
      <c r="M108" s="4" t="n">
        <v>0</v>
      </c>
      <c r="N108" s="25" t="s">
        <v>999</v>
      </c>
      <c r="O108" s="4" t="n">
        <v>0</v>
      </c>
      <c r="P108" s="1" t="n">
        <v>0</v>
      </c>
      <c r="Q108" s="5" t="s">
        <v>1210</v>
      </c>
    </row>
    <row r="109" customFormat="false" ht="15" hidden="false" customHeight="true" outlineLevel="0" collapsed="false">
      <c r="A109" s="6" t="n">
        <v>108</v>
      </c>
      <c r="B109" s="7" t="s">
        <v>1205</v>
      </c>
      <c r="C109" s="7" t="s">
        <v>1205</v>
      </c>
      <c r="D109" s="7" t="s">
        <v>1236</v>
      </c>
      <c r="E109" s="6" t="s">
        <v>110</v>
      </c>
      <c r="F109" s="6" t="s">
        <v>110</v>
      </c>
      <c r="G109" s="6" t="s">
        <v>110</v>
      </c>
      <c r="H109" s="1" t="n">
        <v>0</v>
      </c>
      <c r="I109" s="7" t="s">
        <v>1237</v>
      </c>
      <c r="J109" s="7" t="s">
        <v>1208</v>
      </c>
      <c r="K109" s="26" t="s">
        <v>1209</v>
      </c>
      <c r="L109" s="6" t="n">
        <v>40000</v>
      </c>
      <c r="M109" s="6" t="n">
        <v>0</v>
      </c>
      <c r="N109" s="26" t="s">
        <v>999</v>
      </c>
      <c r="O109" s="6" t="n">
        <v>0</v>
      </c>
      <c r="P109" s="1" t="n">
        <v>0</v>
      </c>
      <c r="Q109" s="7" t="s">
        <v>1210</v>
      </c>
    </row>
    <row r="110" customFormat="false" ht="15" hidden="false" customHeight="true" outlineLevel="0" collapsed="false">
      <c r="A110" s="4" t="n">
        <v>109</v>
      </c>
      <c r="B110" s="5" t="s">
        <v>1205</v>
      </c>
      <c r="C110" s="5" t="s">
        <v>1205</v>
      </c>
      <c r="D110" s="5" t="s">
        <v>1238</v>
      </c>
      <c r="E110" s="4" t="s">
        <v>110</v>
      </c>
      <c r="F110" s="4" t="s">
        <v>110</v>
      </c>
      <c r="G110" s="4" t="s">
        <v>110</v>
      </c>
      <c r="H110" s="1" t="n">
        <v>0</v>
      </c>
      <c r="I110" s="5" t="s">
        <v>1239</v>
      </c>
      <c r="J110" s="5" t="s">
        <v>1208</v>
      </c>
      <c r="K110" s="25" t="s">
        <v>1209</v>
      </c>
      <c r="L110" s="4" t="n">
        <v>40000</v>
      </c>
      <c r="M110" s="4" t="n">
        <v>0</v>
      </c>
      <c r="N110" s="25" t="s">
        <v>999</v>
      </c>
      <c r="O110" s="4" t="n">
        <v>0</v>
      </c>
      <c r="P110" s="1" t="n">
        <v>0</v>
      </c>
      <c r="Q110" s="5" t="s">
        <v>1210</v>
      </c>
    </row>
    <row r="111" customFormat="false" ht="15" hidden="false" customHeight="true" outlineLevel="0" collapsed="false">
      <c r="A111" s="6" t="n">
        <v>110</v>
      </c>
      <c r="B111" s="7" t="s">
        <v>1205</v>
      </c>
      <c r="C111" s="7" t="s">
        <v>1205</v>
      </c>
      <c r="D111" s="7" t="s">
        <v>1240</v>
      </c>
      <c r="E111" s="6" t="s">
        <v>110</v>
      </c>
      <c r="F111" s="6" t="s">
        <v>110</v>
      </c>
      <c r="G111" s="6" t="s">
        <v>110</v>
      </c>
      <c r="H111" s="1" t="n">
        <v>0</v>
      </c>
      <c r="I111" s="7" t="s">
        <v>1241</v>
      </c>
      <c r="J111" s="7" t="s">
        <v>1208</v>
      </c>
      <c r="K111" s="26" t="s">
        <v>1209</v>
      </c>
      <c r="L111" s="6" t="n">
        <v>40000</v>
      </c>
      <c r="M111" s="6" t="n">
        <v>0</v>
      </c>
      <c r="N111" s="26" t="s">
        <v>999</v>
      </c>
      <c r="O111" s="6" t="n">
        <v>0</v>
      </c>
      <c r="P111" s="1" t="n">
        <v>0</v>
      </c>
      <c r="Q111" s="7" t="s">
        <v>1210</v>
      </c>
    </row>
    <row r="112" customFormat="false" ht="15" hidden="false" customHeight="true" outlineLevel="0" collapsed="false">
      <c r="A112" s="4" t="n">
        <v>111</v>
      </c>
      <c r="B112" s="5" t="s">
        <v>1205</v>
      </c>
      <c r="C112" s="5" t="s">
        <v>1205</v>
      </c>
      <c r="D112" s="5" t="s">
        <v>1242</v>
      </c>
      <c r="E112" s="4" t="s">
        <v>110</v>
      </c>
      <c r="F112" s="4" t="s">
        <v>110</v>
      </c>
      <c r="G112" s="4" t="s">
        <v>110</v>
      </c>
      <c r="H112" s="1" t="n">
        <v>0</v>
      </c>
      <c r="I112" s="8" t="s">
        <v>1243</v>
      </c>
      <c r="J112" s="5" t="s">
        <v>1208</v>
      </c>
      <c r="K112" s="25" t="s">
        <v>1209</v>
      </c>
      <c r="L112" s="4" t="n">
        <v>40000</v>
      </c>
      <c r="M112" s="4" t="n">
        <v>0</v>
      </c>
      <c r="N112" s="25" t="s">
        <v>999</v>
      </c>
      <c r="O112" s="4" t="n">
        <v>0</v>
      </c>
      <c r="P112" s="1" t="n">
        <v>0</v>
      </c>
      <c r="Q112" s="5" t="s">
        <v>1210</v>
      </c>
    </row>
    <row r="113" customFormat="false" ht="15" hidden="false" customHeight="true" outlineLevel="0" collapsed="false">
      <c r="A113" s="6" t="n">
        <v>112</v>
      </c>
      <c r="B113" s="7" t="s">
        <v>1205</v>
      </c>
      <c r="C113" s="7" t="s">
        <v>1205</v>
      </c>
      <c r="D113" s="7" t="s">
        <v>1244</v>
      </c>
      <c r="E113" s="6" t="s">
        <v>110</v>
      </c>
      <c r="F113" s="6" t="s">
        <v>110</v>
      </c>
      <c r="G113" s="6" t="s">
        <v>110</v>
      </c>
      <c r="H113" s="1" t="n">
        <v>0</v>
      </c>
      <c r="I113" s="7" t="s">
        <v>1245</v>
      </c>
      <c r="J113" s="7" t="s">
        <v>1208</v>
      </c>
      <c r="K113" s="26" t="s">
        <v>1209</v>
      </c>
      <c r="L113" s="6" t="n">
        <v>40000</v>
      </c>
      <c r="M113" s="6" t="n">
        <v>0</v>
      </c>
      <c r="N113" s="26" t="s">
        <v>999</v>
      </c>
      <c r="O113" s="6" t="n">
        <v>0</v>
      </c>
      <c r="P113" s="1" t="n">
        <v>0</v>
      </c>
      <c r="Q113" s="7" t="s">
        <v>1210</v>
      </c>
    </row>
    <row r="114" customFormat="false" ht="15" hidden="false" customHeight="true" outlineLevel="0" collapsed="false">
      <c r="A114" s="4" t="n">
        <v>113</v>
      </c>
      <c r="B114" s="5" t="s">
        <v>1205</v>
      </c>
      <c r="C114" s="5" t="s">
        <v>1205</v>
      </c>
      <c r="D114" s="5" t="s">
        <v>1246</v>
      </c>
      <c r="E114" s="4" t="s">
        <v>110</v>
      </c>
      <c r="F114" s="4" t="s">
        <v>110</v>
      </c>
      <c r="G114" s="4" t="s">
        <v>110</v>
      </c>
      <c r="H114" s="1" t="n">
        <v>0</v>
      </c>
      <c r="I114" s="5" t="s">
        <v>1247</v>
      </c>
      <c r="J114" s="5" t="s">
        <v>1208</v>
      </c>
      <c r="K114" s="25" t="s">
        <v>1209</v>
      </c>
      <c r="L114" s="4" t="n">
        <v>40000</v>
      </c>
      <c r="M114" s="4" t="n">
        <v>0</v>
      </c>
      <c r="N114" s="25" t="s">
        <v>999</v>
      </c>
      <c r="O114" s="4" t="n">
        <v>0</v>
      </c>
      <c r="P114" s="1" t="n">
        <v>0</v>
      </c>
      <c r="Q114" s="5" t="s">
        <v>1210</v>
      </c>
    </row>
    <row r="115" customFormat="false" ht="15" hidden="false" customHeight="true" outlineLevel="0" collapsed="false">
      <c r="A115" s="6" t="n">
        <v>114</v>
      </c>
      <c r="B115" s="7" t="s">
        <v>1205</v>
      </c>
      <c r="C115" s="7" t="s">
        <v>1205</v>
      </c>
      <c r="D115" s="7" t="s">
        <v>1248</v>
      </c>
      <c r="E115" s="6" t="s">
        <v>110</v>
      </c>
      <c r="F115" s="6" t="s">
        <v>110</v>
      </c>
      <c r="G115" s="6" t="s">
        <v>110</v>
      </c>
      <c r="H115" s="1" t="n">
        <v>0</v>
      </c>
      <c r="I115" s="7" t="s">
        <v>1249</v>
      </c>
      <c r="J115" s="7" t="s">
        <v>1208</v>
      </c>
      <c r="K115" s="26" t="s">
        <v>1209</v>
      </c>
      <c r="L115" s="6" t="n">
        <v>40000</v>
      </c>
      <c r="M115" s="6" t="n">
        <v>0</v>
      </c>
      <c r="N115" s="26" t="s">
        <v>999</v>
      </c>
      <c r="O115" s="6" t="n">
        <v>0</v>
      </c>
      <c r="P115" s="1" t="n">
        <v>0</v>
      </c>
      <c r="Q115" s="7" t="s">
        <v>1210</v>
      </c>
    </row>
    <row r="116" customFormat="false" ht="15" hidden="false" customHeight="true" outlineLevel="0" collapsed="false">
      <c r="A116" s="4" t="n">
        <v>115</v>
      </c>
      <c r="B116" s="5" t="s">
        <v>1205</v>
      </c>
      <c r="C116" s="5" t="s">
        <v>1205</v>
      </c>
      <c r="D116" s="5" t="s">
        <v>1250</v>
      </c>
      <c r="E116" s="4" t="s">
        <v>110</v>
      </c>
      <c r="F116" s="4" t="s">
        <v>110</v>
      </c>
      <c r="G116" s="4" t="s">
        <v>110</v>
      </c>
      <c r="H116" s="1" t="n">
        <v>0</v>
      </c>
      <c r="I116" s="5" t="s">
        <v>1251</v>
      </c>
      <c r="J116" s="5" t="s">
        <v>1208</v>
      </c>
      <c r="K116" s="25" t="s">
        <v>1209</v>
      </c>
      <c r="L116" s="4" t="n">
        <v>40000</v>
      </c>
      <c r="M116" s="4" t="n">
        <v>0</v>
      </c>
      <c r="N116" s="25" t="s">
        <v>999</v>
      </c>
      <c r="O116" s="4" t="n">
        <v>0</v>
      </c>
      <c r="P116" s="1" t="n">
        <v>0</v>
      </c>
      <c r="Q116" s="5" t="s">
        <v>1210</v>
      </c>
    </row>
    <row r="117" customFormat="false" ht="15" hidden="false" customHeight="true" outlineLevel="0" collapsed="false">
      <c r="A117" s="6" t="n">
        <v>116</v>
      </c>
      <c r="B117" s="7" t="s">
        <v>1205</v>
      </c>
      <c r="C117" s="7" t="s">
        <v>1205</v>
      </c>
      <c r="D117" s="7" t="s">
        <v>1252</v>
      </c>
      <c r="E117" s="6" t="s">
        <v>110</v>
      </c>
      <c r="F117" s="6" t="s">
        <v>110</v>
      </c>
      <c r="G117" s="6" t="s">
        <v>110</v>
      </c>
      <c r="H117" s="1" t="n">
        <v>0</v>
      </c>
      <c r="I117" s="7" t="s">
        <v>1253</v>
      </c>
      <c r="J117" s="7" t="s">
        <v>1208</v>
      </c>
      <c r="K117" s="26" t="s">
        <v>1209</v>
      </c>
      <c r="L117" s="6" t="n">
        <v>40000</v>
      </c>
      <c r="M117" s="6" t="n">
        <v>0</v>
      </c>
      <c r="N117" s="26" t="s">
        <v>999</v>
      </c>
      <c r="O117" s="6" t="n">
        <v>0</v>
      </c>
      <c r="P117" s="1" t="n">
        <v>0</v>
      </c>
      <c r="Q117" s="7" t="s">
        <v>1210</v>
      </c>
    </row>
    <row r="118" customFormat="false" ht="15" hidden="false" customHeight="true" outlineLevel="0" collapsed="false">
      <c r="A118" s="4" t="n">
        <v>117</v>
      </c>
      <c r="B118" s="5" t="s">
        <v>1205</v>
      </c>
      <c r="C118" s="5" t="s">
        <v>1205</v>
      </c>
      <c r="D118" s="5" t="s">
        <v>1254</v>
      </c>
      <c r="E118" s="4" t="s">
        <v>110</v>
      </c>
      <c r="F118" s="4" t="s">
        <v>110</v>
      </c>
      <c r="G118" s="4" t="s">
        <v>110</v>
      </c>
      <c r="H118" s="1" t="n">
        <v>0</v>
      </c>
      <c r="I118" s="5" t="s">
        <v>1255</v>
      </c>
      <c r="J118" s="5" t="s">
        <v>1208</v>
      </c>
      <c r="K118" s="25" t="s">
        <v>1209</v>
      </c>
      <c r="L118" s="4" t="n">
        <v>40000</v>
      </c>
      <c r="M118" s="4" t="n">
        <v>0</v>
      </c>
      <c r="N118" s="25" t="s">
        <v>999</v>
      </c>
      <c r="O118" s="4" t="n">
        <v>0</v>
      </c>
      <c r="P118" s="1" t="n">
        <v>0</v>
      </c>
      <c r="Q118" s="5" t="s">
        <v>1210</v>
      </c>
    </row>
    <row r="119" customFormat="false" ht="15" hidden="false" customHeight="true" outlineLevel="0" collapsed="false">
      <c r="A119" s="6" t="n">
        <v>118</v>
      </c>
      <c r="B119" s="7" t="s">
        <v>1205</v>
      </c>
      <c r="C119" s="7" t="s">
        <v>1205</v>
      </c>
      <c r="D119" s="7" t="s">
        <v>1256</v>
      </c>
      <c r="E119" s="6" t="s">
        <v>110</v>
      </c>
      <c r="F119" s="6" t="s">
        <v>110</v>
      </c>
      <c r="G119" s="6" t="s">
        <v>110</v>
      </c>
      <c r="H119" s="1" t="n">
        <v>0</v>
      </c>
      <c r="I119" s="7" t="s">
        <v>1257</v>
      </c>
      <c r="J119" s="7" t="s">
        <v>1208</v>
      </c>
      <c r="K119" s="26" t="s">
        <v>1209</v>
      </c>
      <c r="L119" s="6" t="n">
        <v>40000</v>
      </c>
      <c r="M119" s="6" t="n">
        <v>0</v>
      </c>
      <c r="N119" s="26" t="s">
        <v>999</v>
      </c>
      <c r="O119" s="6" t="n">
        <v>0</v>
      </c>
      <c r="P119" s="1" t="n">
        <v>0</v>
      </c>
      <c r="Q119" s="7" t="s">
        <v>1210</v>
      </c>
    </row>
    <row r="120" customFormat="false" ht="15" hidden="false" customHeight="true" outlineLevel="0" collapsed="false">
      <c r="A120" s="4" t="n">
        <v>119</v>
      </c>
      <c r="B120" s="5" t="s">
        <v>1258</v>
      </c>
      <c r="C120" s="5" t="s">
        <v>1258</v>
      </c>
      <c r="D120" s="5" t="s">
        <v>1259</v>
      </c>
      <c r="E120" s="4" t="s">
        <v>110</v>
      </c>
      <c r="F120" s="4" t="s">
        <v>110</v>
      </c>
      <c r="G120" s="4" t="s">
        <v>110</v>
      </c>
      <c r="H120" s="1" t="n">
        <v>0</v>
      </c>
      <c r="I120" s="5" t="s">
        <v>1260</v>
      </c>
      <c r="J120" s="5" t="s">
        <v>1069</v>
      </c>
      <c r="K120" s="25" t="s">
        <v>1181</v>
      </c>
      <c r="L120" s="4" t="n">
        <v>5000</v>
      </c>
      <c r="M120" s="4" t="n">
        <v>0</v>
      </c>
      <c r="N120" s="25" t="s">
        <v>999</v>
      </c>
      <c r="O120" s="4" t="n">
        <v>0</v>
      </c>
      <c r="P120" s="1" t="n">
        <v>0</v>
      </c>
      <c r="Q120" s="5" t="s">
        <v>1261</v>
      </c>
    </row>
    <row r="121" customFormat="false" ht="15" hidden="false" customHeight="true" outlineLevel="0" collapsed="false">
      <c r="A121" s="6" t="n">
        <v>120</v>
      </c>
      <c r="B121" s="7" t="s">
        <v>1258</v>
      </c>
      <c r="C121" s="7" t="s">
        <v>1258</v>
      </c>
      <c r="D121" s="7" t="s">
        <v>1262</v>
      </c>
      <c r="E121" s="6" t="s">
        <v>110</v>
      </c>
      <c r="F121" s="6" t="s">
        <v>110</v>
      </c>
      <c r="G121" s="6" t="s">
        <v>110</v>
      </c>
      <c r="H121" s="1" t="n">
        <v>0</v>
      </c>
      <c r="I121" s="7" t="s">
        <v>1263</v>
      </c>
      <c r="J121" s="7" t="s">
        <v>1069</v>
      </c>
      <c r="K121" s="26" t="s">
        <v>1181</v>
      </c>
      <c r="L121" s="6" t="n">
        <v>5500</v>
      </c>
      <c r="M121" s="6" t="n">
        <v>0</v>
      </c>
      <c r="N121" s="26" t="s">
        <v>999</v>
      </c>
      <c r="O121" s="6" t="n">
        <v>0</v>
      </c>
      <c r="P121" s="1" t="n">
        <v>0</v>
      </c>
      <c r="Q121" s="7" t="s">
        <v>1264</v>
      </c>
    </row>
    <row r="122" customFormat="false" ht="15" hidden="false" customHeight="true" outlineLevel="0" collapsed="false">
      <c r="A122" s="4" t="n">
        <v>121</v>
      </c>
      <c r="B122" s="5" t="s">
        <v>1258</v>
      </c>
      <c r="C122" s="5" t="s">
        <v>1258</v>
      </c>
      <c r="D122" s="5" t="s">
        <v>1265</v>
      </c>
      <c r="E122" s="4" t="s">
        <v>110</v>
      </c>
      <c r="F122" s="4" t="s">
        <v>110</v>
      </c>
      <c r="G122" s="4" t="s">
        <v>110</v>
      </c>
      <c r="H122" s="1" t="n">
        <v>0</v>
      </c>
      <c r="I122" s="8" t="s">
        <v>1266</v>
      </c>
      <c r="J122" s="5" t="s">
        <v>1069</v>
      </c>
      <c r="K122" s="25" t="s">
        <v>1181</v>
      </c>
      <c r="L122" s="4" t="n">
        <v>25000</v>
      </c>
      <c r="M122" s="4" t="n">
        <v>0</v>
      </c>
      <c r="N122" s="25" t="s">
        <v>999</v>
      </c>
      <c r="O122" s="4" t="n">
        <v>0</v>
      </c>
      <c r="P122" s="1" t="n">
        <v>0</v>
      </c>
      <c r="Q122" s="5" t="s">
        <v>1267</v>
      </c>
    </row>
    <row r="123" customFormat="false" ht="15" hidden="false" customHeight="true" outlineLevel="0" collapsed="false">
      <c r="A123" s="6" t="n">
        <v>122</v>
      </c>
      <c r="B123" s="7" t="s">
        <v>1258</v>
      </c>
      <c r="C123" s="7" t="s">
        <v>1258</v>
      </c>
      <c r="D123" s="7" t="s">
        <v>1268</v>
      </c>
      <c r="E123" s="6" t="s">
        <v>110</v>
      </c>
      <c r="F123" s="6" t="s">
        <v>110</v>
      </c>
      <c r="G123" s="6" t="s">
        <v>110</v>
      </c>
      <c r="H123" s="1" t="n">
        <v>0</v>
      </c>
      <c r="I123" s="7" t="s">
        <v>1269</v>
      </c>
      <c r="J123" s="7" t="s">
        <v>1069</v>
      </c>
      <c r="K123" s="26" t="s">
        <v>1181</v>
      </c>
      <c r="L123" s="6" t="n">
        <v>35000</v>
      </c>
      <c r="M123" s="6" t="n">
        <v>0</v>
      </c>
      <c r="N123" s="26" t="s">
        <v>999</v>
      </c>
      <c r="O123" s="6" t="n">
        <v>0</v>
      </c>
      <c r="P123" s="1" t="n">
        <v>0</v>
      </c>
      <c r="Q123" s="7" t="s">
        <v>1270</v>
      </c>
    </row>
    <row r="124" customFormat="false" ht="15" hidden="false" customHeight="true" outlineLevel="0" collapsed="false">
      <c r="A124" s="4" t="n">
        <v>123</v>
      </c>
      <c r="B124" s="5" t="s">
        <v>1258</v>
      </c>
      <c r="C124" s="5" t="s">
        <v>1258</v>
      </c>
      <c r="D124" s="5" t="s">
        <v>1271</v>
      </c>
      <c r="E124" s="4" t="s">
        <v>110</v>
      </c>
      <c r="F124" s="4" t="s">
        <v>110</v>
      </c>
      <c r="G124" s="4" t="s">
        <v>110</v>
      </c>
      <c r="H124" s="1" t="n">
        <v>0</v>
      </c>
      <c r="I124" s="5" t="s">
        <v>1272</v>
      </c>
      <c r="J124" s="5" t="s">
        <v>1069</v>
      </c>
      <c r="K124" s="25" t="s">
        <v>1181</v>
      </c>
      <c r="L124" s="4" t="n">
        <v>20000</v>
      </c>
      <c r="M124" s="4" t="n">
        <v>0</v>
      </c>
      <c r="N124" s="25" t="s">
        <v>999</v>
      </c>
      <c r="O124" s="4" t="n">
        <v>0</v>
      </c>
      <c r="P124" s="1" t="n">
        <v>0</v>
      </c>
      <c r="Q124" s="5" t="s">
        <v>1273</v>
      </c>
    </row>
    <row r="125" customFormat="false" ht="15" hidden="false" customHeight="true" outlineLevel="0" collapsed="false">
      <c r="A125" s="6" t="n">
        <v>124</v>
      </c>
      <c r="B125" s="7" t="s">
        <v>1258</v>
      </c>
      <c r="C125" s="7" t="s">
        <v>1258</v>
      </c>
      <c r="D125" s="7" t="s">
        <v>1274</v>
      </c>
      <c r="E125" s="6" t="s">
        <v>110</v>
      </c>
      <c r="F125" s="6" t="s">
        <v>110</v>
      </c>
      <c r="G125" s="6" t="s">
        <v>110</v>
      </c>
      <c r="H125" s="1" t="n">
        <v>0</v>
      </c>
      <c r="I125" s="7" t="s">
        <v>1275</v>
      </c>
      <c r="J125" s="7" t="s">
        <v>1069</v>
      </c>
      <c r="K125" s="26" t="s">
        <v>1181</v>
      </c>
      <c r="L125" s="6" t="n">
        <v>25000</v>
      </c>
      <c r="M125" s="6" t="n">
        <v>0</v>
      </c>
      <c r="N125" s="26" t="s">
        <v>999</v>
      </c>
      <c r="O125" s="6" t="n">
        <v>0</v>
      </c>
      <c r="P125" s="1" t="n">
        <v>0</v>
      </c>
      <c r="Q125" s="9" t="s">
        <v>1276</v>
      </c>
    </row>
    <row r="126" customFormat="false" ht="15" hidden="false" customHeight="true" outlineLevel="0" collapsed="false">
      <c r="A126" s="4" t="n">
        <v>125</v>
      </c>
      <c r="B126" s="5" t="s">
        <v>1258</v>
      </c>
      <c r="C126" s="5" t="s">
        <v>1258</v>
      </c>
      <c r="D126" s="5" t="s">
        <v>1277</v>
      </c>
      <c r="E126" s="4" t="s">
        <v>110</v>
      </c>
      <c r="F126" s="4" t="s">
        <v>110</v>
      </c>
      <c r="G126" s="4" t="s">
        <v>110</v>
      </c>
      <c r="H126" s="1" t="n">
        <v>0</v>
      </c>
      <c r="I126" s="5" t="s">
        <v>1278</v>
      </c>
      <c r="J126" s="5" t="s">
        <v>1069</v>
      </c>
      <c r="K126" s="25" t="s">
        <v>1181</v>
      </c>
      <c r="L126" s="4" t="n">
        <v>30000</v>
      </c>
      <c r="M126" s="4" t="n">
        <v>0</v>
      </c>
      <c r="N126" s="25" t="s">
        <v>999</v>
      </c>
      <c r="O126" s="4" t="n">
        <v>0</v>
      </c>
      <c r="P126" s="1" t="n">
        <v>0</v>
      </c>
      <c r="Q126" s="5" t="s">
        <v>1279</v>
      </c>
    </row>
    <row r="127" customFormat="false" ht="15" hidden="false" customHeight="true" outlineLevel="0" collapsed="false">
      <c r="A127" s="6" t="n">
        <v>126</v>
      </c>
      <c r="B127" s="7" t="s">
        <v>1258</v>
      </c>
      <c r="C127" s="7" t="s">
        <v>1258</v>
      </c>
      <c r="D127" s="7" t="s">
        <v>1280</v>
      </c>
      <c r="E127" s="6" t="s">
        <v>110</v>
      </c>
      <c r="F127" s="6" t="s">
        <v>110</v>
      </c>
      <c r="G127" s="6" t="s">
        <v>110</v>
      </c>
      <c r="H127" s="1" t="n">
        <v>0</v>
      </c>
      <c r="I127" s="7" t="s">
        <v>1281</v>
      </c>
      <c r="J127" s="7" t="s">
        <v>1069</v>
      </c>
      <c r="K127" s="26" t="s">
        <v>1181</v>
      </c>
      <c r="L127" s="6" t="n">
        <v>45000</v>
      </c>
      <c r="M127" s="6" t="n">
        <v>0</v>
      </c>
      <c r="N127" s="26" t="s">
        <v>999</v>
      </c>
      <c r="O127" s="6" t="n">
        <v>0</v>
      </c>
      <c r="P127" s="1" t="n">
        <v>0</v>
      </c>
      <c r="Q127" s="7" t="s">
        <v>1282</v>
      </c>
    </row>
    <row r="128" customFormat="false" ht="15" hidden="false" customHeight="true" outlineLevel="0" collapsed="false">
      <c r="A128" s="4" t="n">
        <v>127</v>
      </c>
      <c r="B128" s="5" t="s">
        <v>1258</v>
      </c>
      <c r="C128" s="5" t="s">
        <v>1258</v>
      </c>
      <c r="D128" s="5" t="s">
        <v>1283</v>
      </c>
      <c r="E128" s="4" t="s">
        <v>110</v>
      </c>
      <c r="F128" s="4" t="s">
        <v>110</v>
      </c>
      <c r="G128" s="4" t="s">
        <v>110</v>
      </c>
      <c r="H128" s="1" t="n">
        <v>0</v>
      </c>
      <c r="I128" s="5" t="s">
        <v>1284</v>
      </c>
      <c r="J128" s="5" t="s">
        <v>1069</v>
      </c>
      <c r="K128" s="25" t="s">
        <v>1181</v>
      </c>
      <c r="L128" s="4" t="n">
        <v>35000</v>
      </c>
      <c r="M128" s="4" t="n">
        <v>0</v>
      </c>
      <c r="N128" s="25" t="s">
        <v>999</v>
      </c>
      <c r="O128" s="4" t="n">
        <v>0</v>
      </c>
      <c r="P128" s="1" t="n">
        <v>0</v>
      </c>
      <c r="Q128" s="5" t="s">
        <v>1285</v>
      </c>
    </row>
    <row r="129" customFormat="false" ht="15" hidden="false" customHeight="true" outlineLevel="0" collapsed="false">
      <c r="A129" s="6" t="n">
        <v>128</v>
      </c>
      <c r="B129" s="7" t="s">
        <v>1258</v>
      </c>
      <c r="C129" s="7" t="s">
        <v>1258</v>
      </c>
      <c r="D129" s="7" t="s">
        <v>1286</v>
      </c>
      <c r="E129" s="6" t="s">
        <v>110</v>
      </c>
      <c r="F129" s="6" t="s">
        <v>110</v>
      </c>
      <c r="G129" s="6" t="s">
        <v>110</v>
      </c>
      <c r="H129" s="1" t="n">
        <v>0</v>
      </c>
      <c r="I129" s="7" t="s">
        <v>1287</v>
      </c>
      <c r="J129" s="7" t="s">
        <v>1069</v>
      </c>
      <c r="K129" s="26" t="s">
        <v>1181</v>
      </c>
      <c r="L129" s="6" t="n">
        <v>28000</v>
      </c>
      <c r="M129" s="6" t="n">
        <v>0</v>
      </c>
      <c r="N129" s="26" t="s">
        <v>999</v>
      </c>
      <c r="O129" s="6" t="n">
        <v>0</v>
      </c>
      <c r="P129" s="1" t="n">
        <v>0</v>
      </c>
      <c r="Q129" s="7" t="s">
        <v>1288</v>
      </c>
    </row>
    <row r="130" customFormat="false" ht="15" hidden="false" customHeight="true" outlineLevel="0" collapsed="false">
      <c r="A130" s="4" t="n">
        <v>129</v>
      </c>
      <c r="B130" s="5" t="s">
        <v>1258</v>
      </c>
      <c r="C130" s="5" t="s">
        <v>1258</v>
      </c>
      <c r="D130" s="5" t="s">
        <v>1289</v>
      </c>
      <c r="E130" s="4" t="s">
        <v>110</v>
      </c>
      <c r="F130" s="4" t="s">
        <v>110</v>
      </c>
      <c r="G130" s="4" t="s">
        <v>110</v>
      </c>
      <c r="H130" s="1" t="n">
        <v>0</v>
      </c>
      <c r="I130" s="5" t="s">
        <v>1290</v>
      </c>
      <c r="J130" s="5" t="s">
        <v>1069</v>
      </c>
      <c r="K130" s="25" t="s">
        <v>1181</v>
      </c>
      <c r="L130" s="4" t="n">
        <v>50000</v>
      </c>
      <c r="M130" s="4" t="n">
        <v>0</v>
      </c>
      <c r="N130" s="25" t="s">
        <v>999</v>
      </c>
      <c r="O130" s="4" t="n">
        <v>0</v>
      </c>
      <c r="P130" s="1" t="n">
        <v>0</v>
      </c>
      <c r="Q130" s="5" t="s">
        <v>1291</v>
      </c>
    </row>
    <row r="131" customFormat="false" ht="15" hidden="false" customHeight="true" outlineLevel="0" collapsed="false">
      <c r="A131" s="6" t="n">
        <v>130</v>
      </c>
      <c r="B131" s="7" t="s">
        <v>1258</v>
      </c>
      <c r="C131" s="7" t="s">
        <v>1258</v>
      </c>
      <c r="D131" s="7" t="s">
        <v>1292</v>
      </c>
      <c r="E131" s="6" t="s">
        <v>110</v>
      </c>
      <c r="F131" s="6" t="s">
        <v>110</v>
      </c>
      <c r="G131" s="6" t="s">
        <v>110</v>
      </c>
      <c r="H131" s="1" t="n">
        <v>0</v>
      </c>
      <c r="I131" s="7" t="s">
        <v>1293</v>
      </c>
      <c r="J131" s="7" t="s">
        <v>1069</v>
      </c>
      <c r="K131" s="26" t="s">
        <v>1181</v>
      </c>
      <c r="L131" s="6" t="n">
        <v>18000</v>
      </c>
      <c r="M131" s="6" t="n">
        <v>0</v>
      </c>
      <c r="N131" s="26" t="s">
        <v>999</v>
      </c>
      <c r="O131" s="6" t="n">
        <v>0</v>
      </c>
      <c r="P131" s="1" t="n">
        <v>0</v>
      </c>
      <c r="Q131" s="7" t="s">
        <v>1294</v>
      </c>
    </row>
    <row r="132" customFormat="false" ht="15" hidden="false" customHeight="true" outlineLevel="0" collapsed="false">
      <c r="A132" s="4" t="n">
        <v>131</v>
      </c>
      <c r="B132" s="5" t="s">
        <v>1258</v>
      </c>
      <c r="C132" s="5" t="s">
        <v>1258</v>
      </c>
      <c r="D132" s="5" t="s">
        <v>1295</v>
      </c>
      <c r="E132" s="4" t="s">
        <v>110</v>
      </c>
      <c r="F132" s="4" t="s">
        <v>110</v>
      </c>
      <c r="G132" s="4" t="s">
        <v>110</v>
      </c>
      <c r="H132" s="1" t="n">
        <v>0</v>
      </c>
      <c r="I132" s="5" t="s">
        <v>1296</v>
      </c>
      <c r="J132" s="5" t="s">
        <v>1069</v>
      </c>
      <c r="K132" s="25" t="s">
        <v>1181</v>
      </c>
      <c r="L132" s="4" t="n">
        <v>60000</v>
      </c>
      <c r="M132" s="4" t="n">
        <v>0</v>
      </c>
      <c r="N132" s="25" t="s">
        <v>999</v>
      </c>
      <c r="O132" s="4" t="n">
        <v>0</v>
      </c>
      <c r="P132" s="1" t="n">
        <v>0</v>
      </c>
      <c r="Q132" s="5" t="s">
        <v>1297</v>
      </c>
    </row>
    <row r="133" customFormat="false" ht="15" hidden="false" customHeight="true" outlineLevel="0" collapsed="false">
      <c r="A133" s="6" t="n">
        <v>132</v>
      </c>
      <c r="B133" s="7" t="s">
        <v>1258</v>
      </c>
      <c r="C133" s="7" t="s">
        <v>1258</v>
      </c>
      <c r="D133" s="7" t="s">
        <v>1298</v>
      </c>
      <c r="E133" s="6" t="s">
        <v>110</v>
      </c>
      <c r="F133" s="6" t="s">
        <v>110</v>
      </c>
      <c r="G133" s="6" t="s">
        <v>110</v>
      </c>
      <c r="H133" s="1" t="n">
        <v>0</v>
      </c>
      <c r="I133" s="7" t="s">
        <v>1299</v>
      </c>
      <c r="J133" s="7" t="s">
        <v>1069</v>
      </c>
      <c r="K133" s="26" t="s">
        <v>1181</v>
      </c>
      <c r="L133" s="6" t="n">
        <v>40000</v>
      </c>
      <c r="M133" s="6" t="n">
        <v>0</v>
      </c>
      <c r="N133" s="26" t="s">
        <v>999</v>
      </c>
      <c r="O133" s="6" t="n">
        <v>0</v>
      </c>
      <c r="P133" s="1" t="n">
        <v>0</v>
      </c>
      <c r="Q133" s="7" t="s">
        <v>1300</v>
      </c>
    </row>
    <row r="134" customFormat="false" ht="15" hidden="false" customHeight="true" outlineLevel="0" collapsed="false">
      <c r="A134" s="4" t="n">
        <v>133</v>
      </c>
      <c r="B134" s="5" t="s">
        <v>1258</v>
      </c>
      <c r="C134" s="5" t="s">
        <v>1258</v>
      </c>
      <c r="D134" s="5" t="s">
        <v>1301</v>
      </c>
      <c r="E134" s="4" t="s">
        <v>110</v>
      </c>
      <c r="F134" s="4" t="s">
        <v>110</v>
      </c>
      <c r="G134" s="4" t="s">
        <v>110</v>
      </c>
      <c r="H134" s="1" t="n">
        <v>0</v>
      </c>
      <c r="I134" s="5" t="s">
        <v>1302</v>
      </c>
      <c r="J134" s="5" t="s">
        <v>1069</v>
      </c>
      <c r="K134" s="25" t="s">
        <v>1181</v>
      </c>
      <c r="L134" s="4" t="n">
        <v>22000</v>
      </c>
      <c r="M134" s="4" t="n">
        <v>0</v>
      </c>
      <c r="N134" s="25" t="s">
        <v>999</v>
      </c>
      <c r="O134" s="4" t="n">
        <v>0</v>
      </c>
      <c r="P134" s="1" t="n">
        <v>0</v>
      </c>
      <c r="Q134" s="5" t="s">
        <v>1303</v>
      </c>
    </row>
    <row r="135" customFormat="false" ht="15" hidden="false" customHeight="true" outlineLevel="0" collapsed="false">
      <c r="A135" s="6" t="n">
        <v>134</v>
      </c>
      <c r="B135" s="7" t="s">
        <v>1304</v>
      </c>
      <c r="C135" s="7" t="s">
        <v>1304</v>
      </c>
      <c r="D135" s="7" t="s">
        <v>1305</v>
      </c>
      <c r="E135" s="6" t="s">
        <v>110</v>
      </c>
      <c r="F135" s="6" t="n">
        <v>7</v>
      </c>
      <c r="G135" s="6" t="s">
        <v>110</v>
      </c>
      <c r="H135" s="1" t="n">
        <v>0</v>
      </c>
      <c r="I135" s="7" t="s">
        <v>1306</v>
      </c>
      <c r="J135" s="7" t="s">
        <v>998</v>
      </c>
      <c r="K135" s="26" t="s">
        <v>522</v>
      </c>
      <c r="L135" s="6" t="n">
        <v>25000</v>
      </c>
      <c r="M135" s="6" t="n">
        <v>0</v>
      </c>
      <c r="N135" s="26" t="s">
        <v>999</v>
      </c>
      <c r="O135" s="6" t="n">
        <v>0</v>
      </c>
      <c r="P135" s="1" t="n">
        <v>0</v>
      </c>
      <c r="Q135" s="7" t="s">
        <v>1307</v>
      </c>
    </row>
    <row r="136" customFormat="false" ht="15" hidden="false" customHeight="true" outlineLevel="0" collapsed="false">
      <c r="A136" s="4" t="n">
        <v>135</v>
      </c>
      <c r="B136" s="5" t="s">
        <v>1304</v>
      </c>
      <c r="C136" s="5" t="s">
        <v>1304</v>
      </c>
      <c r="D136" s="5" t="s">
        <v>1308</v>
      </c>
      <c r="E136" s="4" t="s">
        <v>110</v>
      </c>
      <c r="F136" s="4" t="n">
        <v>7</v>
      </c>
      <c r="G136" s="4" t="s">
        <v>110</v>
      </c>
      <c r="H136" s="1" t="n">
        <v>0</v>
      </c>
      <c r="I136" s="5" t="s">
        <v>1309</v>
      </c>
      <c r="J136" s="5" t="s">
        <v>998</v>
      </c>
      <c r="K136" s="25" t="s">
        <v>522</v>
      </c>
      <c r="L136" s="4" t="n">
        <v>28000</v>
      </c>
      <c r="M136" s="4" t="n">
        <v>0</v>
      </c>
      <c r="N136" s="25" t="s">
        <v>999</v>
      </c>
      <c r="O136" s="4" t="n">
        <v>0</v>
      </c>
      <c r="P136" s="1" t="n">
        <v>0</v>
      </c>
      <c r="Q136" s="5" t="s">
        <v>1310</v>
      </c>
    </row>
    <row r="137" customFormat="false" ht="15" hidden="false" customHeight="true" outlineLevel="0" collapsed="false">
      <c r="A137" s="6" t="n">
        <v>136</v>
      </c>
      <c r="B137" s="7" t="s">
        <v>1304</v>
      </c>
      <c r="C137" s="7" t="s">
        <v>1304</v>
      </c>
      <c r="D137" s="9" t="s">
        <v>1311</v>
      </c>
      <c r="E137" s="6" t="s">
        <v>110</v>
      </c>
      <c r="F137" s="6" t="n">
        <v>7</v>
      </c>
      <c r="G137" s="6" t="s">
        <v>110</v>
      </c>
      <c r="H137" s="1" t="n">
        <v>0</v>
      </c>
      <c r="I137" s="7" t="s">
        <v>1312</v>
      </c>
      <c r="J137" s="7" t="s">
        <v>998</v>
      </c>
      <c r="K137" s="26" t="s">
        <v>522</v>
      </c>
      <c r="L137" s="6" t="n">
        <v>8000</v>
      </c>
      <c r="M137" s="6" t="n">
        <v>0</v>
      </c>
      <c r="N137" s="26" t="s">
        <v>999</v>
      </c>
      <c r="O137" s="6" t="n">
        <v>0</v>
      </c>
      <c r="P137" s="1" t="n">
        <v>0</v>
      </c>
      <c r="Q137" s="7" t="s">
        <v>1313</v>
      </c>
    </row>
    <row r="138" customFormat="false" ht="15" hidden="false" customHeight="true" outlineLevel="0" collapsed="false">
      <c r="A138" s="4" t="n">
        <v>137</v>
      </c>
      <c r="B138" s="5" t="s">
        <v>1304</v>
      </c>
      <c r="C138" s="5" t="s">
        <v>1304</v>
      </c>
      <c r="D138" s="5" t="s">
        <v>1314</v>
      </c>
      <c r="E138" s="4" t="s">
        <v>110</v>
      </c>
      <c r="F138" s="4" t="n">
        <v>7</v>
      </c>
      <c r="G138" s="4" t="s">
        <v>110</v>
      </c>
      <c r="H138" s="1" t="n">
        <v>0</v>
      </c>
      <c r="I138" s="5" t="s">
        <v>1315</v>
      </c>
      <c r="J138" s="5" t="s">
        <v>998</v>
      </c>
      <c r="K138" s="25" t="s">
        <v>522</v>
      </c>
      <c r="L138" s="4" t="n">
        <v>15000</v>
      </c>
      <c r="M138" s="4" t="n">
        <v>0</v>
      </c>
      <c r="N138" s="25" t="s">
        <v>999</v>
      </c>
      <c r="O138" s="4" t="n">
        <v>0</v>
      </c>
      <c r="P138" s="1" t="n">
        <v>0</v>
      </c>
      <c r="Q138" s="5" t="s">
        <v>1316</v>
      </c>
    </row>
    <row r="139" customFormat="false" ht="15" hidden="false" customHeight="true" outlineLevel="0" collapsed="false">
      <c r="A139" s="6" t="n">
        <v>138</v>
      </c>
      <c r="B139" s="7" t="s">
        <v>1304</v>
      </c>
      <c r="C139" s="7" t="s">
        <v>1304</v>
      </c>
      <c r="D139" s="7" t="s">
        <v>1317</v>
      </c>
      <c r="E139" s="6" t="s">
        <v>110</v>
      </c>
      <c r="F139" s="6" t="n">
        <v>7</v>
      </c>
      <c r="G139" s="6" t="s">
        <v>110</v>
      </c>
      <c r="H139" s="1" t="n">
        <v>0</v>
      </c>
      <c r="I139" s="7" t="s">
        <v>1318</v>
      </c>
      <c r="J139" s="7" t="s">
        <v>998</v>
      </c>
      <c r="K139" s="26" t="s">
        <v>522</v>
      </c>
      <c r="L139" s="6" t="n">
        <v>6000</v>
      </c>
      <c r="M139" s="6" t="n">
        <v>0</v>
      </c>
      <c r="N139" s="26" t="s">
        <v>999</v>
      </c>
      <c r="O139" s="6" t="n">
        <v>0</v>
      </c>
      <c r="P139" s="1" t="n">
        <v>0</v>
      </c>
      <c r="Q139" s="7" t="s">
        <v>1319</v>
      </c>
    </row>
    <row r="140" customFormat="false" ht="15" hidden="false" customHeight="true" outlineLevel="0" collapsed="false">
      <c r="A140" s="4" t="n">
        <v>139</v>
      </c>
      <c r="B140" s="5" t="s">
        <v>1304</v>
      </c>
      <c r="C140" s="5" t="s">
        <v>1304</v>
      </c>
      <c r="D140" s="5" t="s">
        <v>1320</v>
      </c>
      <c r="E140" s="4" t="s">
        <v>110</v>
      </c>
      <c r="F140" s="4" t="n">
        <v>7</v>
      </c>
      <c r="G140" s="4" t="s">
        <v>110</v>
      </c>
      <c r="H140" s="1" t="n">
        <v>0</v>
      </c>
      <c r="I140" s="5" t="s">
        <v>1321</v>
      </c>
      <c r="J140" s="5" t="s">
        <v>998</v>
      </c>
      <c r="K140" s="25" t="s">
        <v>522</v>
      </c>
      <c r="L140" s="4" t="n">
        <v>12000</v>
      </c>
      <c r="M140" s="4" t="n">
        <v>0</v>
      </c>
      <c r="N140" s="25" t="s">
        <v>999</v>
      </c>
      <c r="O140" s="4" t="n">
        <v>0</v>
      </c>
      <c r="P140" s="1" t="n">
        <v>0</v>
      </c>
      <c r="Q140" s="5" t="s">
        <v>1322</v>
      </c>
    </row>
    <row r="141" customFormat="false" ht="15" hidden="false" customHeight="true" outlineLevel="0" collapsed="false">
      <c r="A141" s="6" t="n">
        <v>140</v>
      </c>
      <c r="B141" s="7" t="s">
        <v>1304</v>
      </c>
      <c r="C141" s="7" t="s">
        <v>1304</v>
      </c>
      <c r="D141" s="7" t="s">
        <v>1323</v>
      </c>
      <c r="E141" s="6" t="s">
        <v>110</v>
      </c>
      <c r="F141" s="6" t="n">
        <v>7</v>
      </c>
      <c r="G141" s="6" t="s">
        <v>110</v>
      </c>
      <c r="H141" s="1" t="n">
        <v>0</v>
      </c>
      <c r="I141" s="9" t="s">
        <v>1324</v>
      </c>
      <c r="J141" s="7" t="s">
        <v>998</v>
      </c>
      <c r="K141" s="26" t="s">
        <v>522</v>
      </c>
      <c r="L141" s="6" t="n">
        <v>14000</v>
      </c>
      <c r="M141" s="6" t="n">
        <v>0</v>
      </c>
      <c r="N141" s="26" t="s">
        <v>999</v>
      </c>
      <c r="O141" s="6" t="n">
        <v>0</v>
      </c>
      <c r="P141" s="1" t="n">
        <v>0</v>
      </c>
      <c r="Q141" s="7" t="s">
        <v>1325</v>
      </c>
    </row>
    <row r="142" customFormat="false" ht="15" hidden="false" customHeight="true" outlineLevel="0" collapsed="false">
      <c r="A142" s="14" t="n">
        <v>141</v>
      </c>
      <c r="B142" s="15" t="s">
        <v>1326</v>
      </c>
      <c r="C142" s="16" t="s">
        <v>1327</v>
      </c>
      <c r="D142" s="16" t="s">
        <v>1328</v>
      </c>
      <c r="E142" s="14" t="n">
        <v>0</v>
      </c>
      <c r="F142" s="14" t="n">
        <v>7</v>
      </c>
      <c r="G142" s="14" t="n">
        <v>0</v>
      </c>
      <c r="H142" s="1" t="n">
        <v>0</v>
      </c>
      <c r="I142" s="20" t="s">
        <v>1329</v>
      </c>
      <c r="J142" s="15" t="s">
        <v>1169</v>
      </c>
      <c r="K142" s="15" t="s">
        <v>522</v>
      </c>
      <c r="L142" s="14" t="n">
        <v>5</v>
      </c>
      <c r="M142" s="14" t="n">
        <v>0</v>
      </c>
      <c r="N142" s="15" t="s">
        <v>1330</v>
      </c>
      <c r="O142" s="14" t="n">
        <v>0</v>
      </c>
      <c r="P142" s="1" t="n">
        <v>0</v>
      </c>
      <c r="Q142" s="15" t="s">
        <v>1331</v>
      </c>
    </row>
    <row r="143" customFormat="false" ht="15" hidden="false" customHeight="true" outlineLevel="0" collapsed="false">
      <c r="A143" s="14" t="n">
        <v>142</v>
      </c>
      <c r="B143" s="15" t="s">
        <v>1326</v>
      </c>
      <c r="C143" s="16" t="s">
        <v>1332</v>
      </c>
      <c r="D143" s="16" t="s">
        <v>1333</v>
      </c>
      <c r="E143" s="14" t="s">
        <v>1334</v>
      </c>
      <c r="F143" s="14" t="s">
        <v>1334</v>
      </c>
      <c r="G143" s="14" t="s">
        <v>1334</v>
      </c>
      <c r="H143" s="1" t="n">
        <v>0</v>
      </c>
      <c r="I143" s="20" t="s">
        <v>1335</v>
      </c>
      <c r="J143" s="15" t="s">
        <v>1336</v>
      </c>
      <c r="K143" s="15" t="s">
        <v>522</v>
      </c>
      <c r="L143" s="14" t="n">
        <v>800</v>
      </c>
      <c r="M143" s="14" t="n">
        <v>0</v>
      </c>
      <c r="N143" s="15" t="s">
        <v>1337</v>
      </c>
      <c r="O143" s="14" t="n">
        <v>0</v>
      </c>
      <c r="P143" s="1" t="n">
        <v>0</v>
      </c>
      <c r="Q143" s="14" t="s">
        <v>1338</v>
      </c>
    </row>
    <row r="144" customFormat="false" ht="15" hidden="false" customHeight="true" outlineLevel="0" collapsed="false">
      <c r="A144" s="14" t="n">
        <v>143</v>
      </c>
      <c r="B144" s="15" t="s">
        <v>1326</v>
      </c>
      <c r="C144" s="16" t="s">
        <v>1332</v>
      </c>
      <c r="D144" s="16" t="s">
        <v>1339</v>
      </c>
      <c r="E144" s="14" t="s">
        <v>1334</v>
      </c>
      <c r="F144" s="14" t="s">
        <v>1334</v>
      </c>
      <c r="G144" s="14" t="s">
        <v>1334</v>
      </c>
      <c r="H144" s="1" t="n">
        <v>0</v>
      </c>
      <c r="I144" s="20" t="s">
        <v>1340</v>
      </c>
      <c r="J144" s="15" t="s">
        <v>1336</v>
      </c>
      <c r="K144" s="15" t="s">
        <v>522</v>
      </c>
      <c r="L144" s="14" t="n">
        <v>600</v>
      </c>
      <c r="M144" s="14" t="n">
        <v>0</v>
      </c>
      <c r="N144" s="15" t="s">
        <v>999</v>
      </c>
      <c r="O144" s="14" t="n">
        <v>0</v>
      </c>
      <c r="P144" s="1" t="n">
        <v>0</v>
      </c>
      <c r="Q144" s="15" t="s">
        <v>1341</v>
      </c>
    </row>
    <row r="145" customFormat="false" ht="15" hidden="false" customHeight="true" outlineLevel="0" collapsed="false">
      <c r="A145" s="14" t="n">
        <v>144</v>
      </c>
      <c r="B145" s="15" t="s">
        <v>1326</v>
      </c>
      <c r="C145" s="16" t="s">
        <v>1342</v>
      </c>
      <c r="D145" s="16" t="s">
        <v>1343</v>
      </c>
      <c r="E145" s="14" t="s">
        <v>1334</v>
      </c>
      <c r="F145" s="14" t="s">
        <v>1334</v>
      </c>
      <c r="G145" s="14" t="s">
        <v>1334</v>
      </c>
      <c r="H145" s="1" t="n">
        <v>0</v>
      </c>
      <c r="I145" s="20" t="s">
        <v>1344</v>
      </c>
      <c r="J145" s="15" t="s">
        <v>1345</v>
      </c>
      <c r="K145" s="15" t="s">
        <v>522</v>
      </c>
      <c r="L145" s="14" t="n">
        <v>500</v>
      </c>
      <c r="M145" s="14" t="n">
        <v>0</v>
      </c>
      <c r="N145" s="15" t="s">
        <v>999</v>
      </c>
      <c r="O145" s="14" t="n">
        <v>0</v>
      </c>
      <c r="P145" s="1" t="n">
        <v>0</v>
      </c>
      <c r="Q145" s="15" t="s">
        <v>1346</v>
      </c>
    </row>
    <row r="146" customFormat="false" ht="15" hidden="false" customHeight="true" outlineLevel="0" collapsed="false">
      <c r="A146" s="14" t="n">
        <v>145</v>
      </c>
      <c r="B146" s="15" t="s">
        <v>1326</v>
      </c>
      <c r="C146" s="16" t="s">
        <v>1342</v>
      </c>
      <c r="D146" s="16" t="s">
        <v>1347</v>
      </c>
      <c r="E146" s="14" t="s">
        <v>1334</v>
      </c>
      <c r="F146" s="14" t="s">
        <v>1334</v>
      </c>
      <c r="G146" s="14" t="s">
        <v>1334</v>
      </c>
      <c r="H146" s="1" t="n">
        <v>0</v>
      </c>
      <c r="I146" s="20" t="s">
        <v>1348</v>
      </c>
      <c r="J146" s="15" t="s">
        <v>1345</v>
      </c>
      <c r="K146" s="15" t="s">
        <v>522</v>
      </c>
      <c r="L146" s="14" t="n">
        <v>2000</v>
      </c>
      <c r="M146" s="14" t="n">
        <v>0</v>
      </c>
      <c r="N146" s="15" t="s">
        <v>999</v>
      </c>
      <c r="O146" s="14" t="n">
        <v>0</v>
      </c>
      <c r="P146" s="1" t="n">
        <v>0</v>
      </c>
      <c r="Q146" s="15" t="s">
        <v>1349</v>
      </c>
    </row>
    <row r="147" customFormat="false" ht="15" hidden="false" customHeight="true" outlineLevel="0" collapsed="false">
      <c r="A147" s="14" t="n">
        <v>146</v>
      </c>
      <c r="B147" s="15" t="s">
        <v>1350</v>
      </c>
      <c r="C147" s="16" t="s">
        <v>1351</v>
      </c>
      <c r="D147" s="16" t="s">
        <v>1352</v>
      </c>
      <c r="E147" s="14" t="s">
        <v>1334</v>
      </c>
      <c r="F147" s="14" t="s">
        <v>1334</v>
      </c>
      <c r="G147" s="14" t="s">
        <v>1334</v>
      </c>
      <c r="H147" s="1" t="n">
        <v>0</v>
      </c>
      <c r="I147" s="16" t="s">
        <v>1353</v>
      </c>
      <c r="J147" s="15" t="s">
        <v>1345</v>
      </c>
      <c r="K147" s="15" t="s">
        <v>522</v>
      </c>
      <c r="L147" s="14" t="n">
        <v>12000</v>
      </c>
      <c r="M147" s="14" t="n">
        <v>0</v>
      </c>
      <c r="N147" s="15" t="s">
        <v>999</v>
      </c>
      <c r="O147" s="14" t="n">
        <v>0</v>
      </c>
      <c r="P147" s="1" t="n">
        <v>0</v>
      </c>
      <c r="Q147" s="15" t="s">
        <v>58</v>
      </c>
    </row>
    <row r="148" customFormat="false" ht="15" hidden="false" customHeight="true" outlineLevel="0" collapsed="false">
      <c r="A148" s="14" t="n">
        <v>147</v>
      </c>
      <c r="B148" s="15" t="s">
        <v>1350</v>
      </c>
      <c r="C148" s="16" t="s">
        <v>1351</v>
      </c>
      <c r="D148" s="20" t="s">
        <v>1354</v>
      </c>
      <c r="E148" s="14" t="s">
        <v>1334</v>
      </c>
      <c r="F148" s="14" t="n">
        <v>10.5</v>
      </c>
      <c r="G148" s="14" t="s">
        <v>1334</v>
      </c>
      <c r="H148" s="1" t="n">
        <v>0</v>
      </c>
      <c r="I148" s="16" t="s">
        <v>1355</v>
      </c>
      <c r="J148" s="15" t="s">
        <v>1345</v>
      </c>
      <c r="K148" s="15" t="s">
        <v>522</v>
      </c>
      <c r="L148" s="14" t="n">
        <v>15000</v>
      </c>
      <c r="M148" s="14" t="n">
        <v>0</v>
      </c>
      <c r="N148" s="15" t="s">
        <v>1356</v>
      </c>
      <c r="O148" s="14" t="n">
        <v>0</v>
      </c>
      <c r="P148" s="1" t="n">
        <v>0</v>
      </c>
      <c r="Q148" s="14"/>
    </row>
    <row r="149" customFormat="false" ht="15" hidden="false" customHeight="true" outlineLevel="0" collapsed="false">
      <c r="A149" s="14" t="n">
        <v>148</v>
      </c>
      <c r="B149" s="15" t="s">
        <v>1350</v>
      </c>
      <c r="C149" s="16" t="s">
        <v>1357</v>
      </c>
      <c r="D149" s="16" t="s">
        <v>1358</v>
      </c>
      <c r="E149" s="14" t="s">
        <v>1334</v>
      </c>
      <c r="F149" s="14" t="s">
        <v>1334</v>
      </c>
      <c r="G149" s="14" t="s">
        <v>1334</v>
      </c>
      <c r="H149" s="1" t="n">
        <v>0</v>
      </c>
      <c r="I149" s="16" t="s">
        <v>1359</v>
      </c>
      <c r="J149" s="15" t="s">
        <v>1345</v>
      </c>
      <c r="K149" s="15" t="s">
        <v>522</v>
      </c>
      <c r="L149" s="14" t="n">
        <v>20000</v>
      </c>
      <c r="M149" s="14" t="n">
        <v>0</v>
      </c>
      <c r="N149" s="15" t="s">
        <v>999</v>
      </c>
      <c r="O149" s="14" t="n">
        <v>0</v>
      </c>
      <c r="P149" s="1" t="n">
        <v>0</v>
      </c>
      <c r="Q149" s="14" t="s">
        <v>1360</v>
      </c>
    </row>
    <row r="150" customFormat="false" ht="15" hidden="false" customHeight="true" outlineLevel="0" collapsed="false">
      <c r="A150" s="14" t="n">
        <v>149</v>
      </c>
      <c r="B150" s="15" t="s">
        <v>1350</v>
      </c>
      <c r="C150" s="16" t="s">
        <v>1357</v>
      </c>
      <c r="D150" s="16" t="s">
        <v>1361</v>
      </c>
      <c r="E150" s="14" t="s">
        <v>1334</v>
      </c>
      <c r="F150" s="14" t="s">
        <v>1334</v>
      </c>
      <c r="G150" s="14" t="s">
        <v>1334</v>
      </c>
      <c r="H150" s="1" t="n">
        <v>0</v>
      </c>
      <c r="I150" s="16" t="s">
        <v>1362</v>
      </c>
      <c r="J150" s="15" t="s">
        <v>1345</v>
      </c>
      <c r="K150" s="15" t="s">
        <v>522</v>
      </c>
      <c r="L150" s="14" t="n">
        <v>30000</v>
      </c>
      <c r="M150" s="14" t="n">
        <v>0</v>
      </c>
      <c r="N150" s="15" t="s">
        <v>999</v>
      </c>
      <c r="O150" s="14" t="n">
        <v>0</v>
      </c>
      <c r="P150" s="1" t="n">
        <v>0</v>
      </c>
      <c r="Q150" s="15" t="s">
        <v>1363</v>
      </c>
    </row>
    <row r="151" customFormat="false" ht="15" hidden="false" customHeight="true" outlineLevel="0" collapsed="false">
      <c r="A151" s="14" t="n">
        <v>150</v>
      </c>
      <c r="B151" s="15" t="s">
        <v>1350</v>
      </c>
      <c r="C151" s="16" t="s">
        <v>1364</v>
      </c>
      <c r="D151" s="16" t="s">
        <v>1365</v>
      </c>
      <c r="E151" s="14" t="s">
        <v>1334</v>
      </c>
      <c r="F151" s="14" t="s">
        <v>1334</v>
      </c>
      <c r="G151" s="14" t="s">
        <v>1334</v>
      </c>
      <c r="H151" s="1" t="n">
        <v>0</v>
      </c>
      <c r="I151" s="20" t="s">
        <v>1366</v>
      </c>
      <c r="J151" s="15" t="s">
        <v>1345</v>
      </c>
      <c r="K151" s="15" t="s">
        <v>1181</v>
      </c>
      <c r="L151" s="14" t="n">
        <v>35000</v>
      </c>
      <c r="M151" s="14" t="n">
        <v>0</v>
      </c>
      <c r="N151" s="15" t="s">
        <v>999</v>
      </c>
      <c r="O151" s="14" t="n">
        <v>0</v>
      </c>
      <c r="P151" s="1" t="n">
        <v>0</v>
      </c>
      <c r="Q151" s="14"/>
    </row>
    <row r="152" customFormat="false" ht="15" hidden="false" customHeight="true" outlineLevel="0" collapsed="false">
      <c r="A152" s="14" t="n">
        <v>151</v>
      </c>
      <c r="B152" s="15" t="s">
        <v>1350</v>
      </c>
      <c r="C152" s="16" t="s">
        <v>1367</v>
      </c>
      <c r="D152" s="16" t="s">
        <v>1201</v>
      </c>
      <c r="E152" s="14" t="s">
        <v>1334</v>
      </c>
      <c r="F152" s="14" t="n">
        <v>9</v>
      </c>
      <c r="G152" s="14" t="s">
        <v>1334</v>
      </c>
      <c r="H152" s="1" t="n">
        <v>0</v>
      </c>
      <c r="I152" s="16" t="s">
        <v>1368</v>
      </c>
      <c r="J152" s="15" t="s">
        <v>1345</v>
      </c>
      <c r="K152" s="15" t="s">
        <v>522</v>
      </c>
      <c r="L152" s="14" t="n">
        <v>2000</v>
      </c>
      <c r="M152" s="14" t="n">
        <v>0</v>
      </c>
      <c r="N152" s="15" t="s">
        <v>1356</v>
      </c>
      <c r="O152" s="14" t="n">
        <v>0</v>
      </c>
      <c r="P152" s="1" t="n">
        <v>0</v>
      </c>
      <c r="Q152" s="15" t="s">
        <v>1369</v>
      </c>
    </row>
    <row r="153" customFormat="false" ht="15" hidden="false" customHeight="true" outlineLevel="0" collapsed="false">
      <c r="A153" s="14" t="n">
        <v>152</v>
      </c>
      <c r="B153" s="15" t="s">
        <v>1370</v>
      </c>
      <c r="C153" s="16" t="s">
        <v>1371</v>
      </c>
      <c r="D153" s="16" t="s">
        <v>1372</v>
      </c>
      <c r="E153" s="14" t="s">
        <v>1334</v>
      </c>
      <c r="F153" s="14" t="n">
        <v>6.7</v>
      </c>
      <c r="G153" s="14" t="s">
        <v>1334</v>
      </c>
      <c r="H153" s="1" t="n">
        <v>0</v>
      </c>
      <c r="I153" s="16" t="s">
        <v>1373</v>
      </c>
      <c r="J153" s="15" t="s">
        <v>1345</v>
      </c>
      <c r="K153" s="15" t="s">
        <v>1181</v>
      </c>
      <c r="L153" s="14" t="n">
        <v>6500</v>
      </c>
      <c r="M153" s="14" t="n">
        <v>0</v>
      </c>
      <c r="N153" s="15" t="s">
        <v>1374</v>
      </c>
      <c r="O153" s="14" t="n">
        <v>0</v>
      </c>
      <c r="P153" s="1" t="n">
        <v>0</v>
      </c>
      <c r="Q153" s="15" t="s">
        <v>1375</v>
      </c>
    </row>
    <row r="154" customFormat="false" ht="15" hidden="false" customHeight="true" outlineLevel="0" collapsed="false">
      <c r="A154" s="14" t="n">
        <v>153</v>
      </c>
      <c r="B154" s="15" t="s">
        <v>1370</v>
      </c>
      <c r="C154" s="16" t="s">
        <v>1371</v>
      </c>
      <c r="D154" s="16" t="s">
        <v>1376</v>
      </c>
      <c r="E154" s="14" t="s">
        <v>1334</v>
      </c>
      <c r="F154" s="14" t="n">
        <v>6.6</v>
      </c>
      <c r="G154" s="14" t="s">
        <v>1334</v>
      </c>
      <c r="H154" s="1" t="n">
        <v>0</v>
      </c>
      <c r="I154" s="16" t="s">
        <v>1377</v>
      </c>
      <c r="J154" s="15" t="s">
        <v>1345</v>
      </c>
      <c r="K154" s="15" t="s">
        <v>1181</v>
      </c>
      <c r="L154" s="14" t="n">
        <v>7500</v>
      </c>
      <c r="M154" s="14" t="n">
        <v>0</v>
      </c>
      <c r="N154" s="15" t="s">
        <v>1374</v>
      </c>
      <c r="O154" s="14" t="n">
        <v>0</v>
      </c>
      <c r="P154" s="1" t="n">
        <v>0</v>
      </c>
      <c r="Q154" s="14"/>
    </row>
    <row r="155" customFormat="false" ht="15" hidden="false" customHeight="true" outlineLevel="0" collapsed="false">
      <c r="A155" s="14" t="n">
        <v>154</v>
      </c>
      <c r="B155" s="15" t="s">
        <v>1370</v>
      </c>
      <c r="C155" s="16" t="s">
        <v>1378</v>
      </c>
      <c r="D155" s="16" t="s">
        <v>1379</v>
      </c>
      <c r="E155" s="14" t="s">
        <v>1334</v>
      </c>
      <c r="F155" s="14" t="n">
        <v>6.2</v>
      </c>
      <c r="G155" s="14" t="s">
        <v>1334</v>
      </c>
      <c r="H155" s="1" t="n">
        <v>0</v>
      </c>
      <c r="I155" s="16" t="s">
        <v>1380</v>
      </c>
      <c r="J155" s="15" t="s">
        <v>1345</v>
      </c>
      <c r="K155" s="15" t="s">
        <v>1181</v>
      </c>
      <c r="L155" s="14" t="n">
        <v>5000</v>
      </c>
      <c r="M155" s="14" t="n">
        <v>0</v>
      </c>
      <c r="N155" s="15" t="s">
        <v>1381</v>
      </c>
      <c r="O155" s="14" t="n">
        <v>0</v>
      </c>
      <c r="P155" s="1" t="n">
        <v>0</v>
      </c>
      <c r="Q155" s="14"/>
    </row>
    <row r="156" customFormat="false" ht="15" hidden="false" customHeight="true" outlineLevel="0" collapsed="false">
      <c r="A156" s="14" t="n">
        <v>155</v>
      </c>
      <c r="B156" s="15" t="s">
        <v>1382</v>
      </c>
      <c r="C156" s="16" t="s">
        <v>35</v>
      </c>
      <c r="D156" s="16" t="s">
        <v>1383</v>
      </c>
      <c r="E156" s="14" t="n">
        <v>2.5</v>
      </c>
      <c r="F156" s="14" t="n">
        <v>5</v>
      </c>
      <c r="G156" s="14" t="s">
        <v>1334</v>
      </c>
      <c r="H156" s="1" t="n">
        <v>0</v>
      </c>
      <c r="I156" s="16" t="s">
        <v>1384</v>
      </c>
      <c r="J156" s="15" t="s">
        <v>1169</v>
      </c>
      <c r="K156" s="15" t="s">
        <v>511</v>
      </c>
      <c r="L156" s="14" t="n">
        <v>8000</v>
      </c>
      <c r="M156" s="14" t="n">
        <v>0.025</v>
      </c>
      <c r="N156" s="15" t="s">
        <v>1381</v>
      </c>
      <c r="O156" s="14" t="n">
        <v>0</v>
      </c>
      <c r="P156" s="1" t="n">
        <v>0</v>
      </c>
      <c r="Q156" s="14"/>
    </row>
    <row r="157" customFormat="false" ht="15" hidden="false" customHeight="true" outlineLevel="0" collapsed="false">
      <c r="A157" s="14" t="n">
        <v>156</v>
      </c>
      <c r="B157" s="15" t="s">
        <v>1382</v>
      </c>
      <c r="C157" s="16" t="s">
        <v>1385</v>
      </c>
      <c r="D157" s="16" t="s">
        <v>1386</v>
      </c>
      <c r="E157" s="14" t="n">
        <v>65</v>
      </c>
      <c r="F157" s="14" t="n">
        <v>5</v>
      </c>
      <c r="G157" s="14" t="s">
        <v>1334</v>
      </c>
      <c r="H157" s="1" t="n">
        <v>0</v>
      </c>
      <c r="I157" s="16" t="s">
        <v>1387</v>
      </c>
      <c r="J157" s="15" t="s">
        <v>1388</v>
      </c>
      <c r="K157" s="15" t="s">
        <v>1181</v>
      </c>
      <c r="L157" s="14" t="n">
        <v>80000</v>
      </c>
      <c r="M157" s="14" t="n">
        <v>0.65</v>
      </c>
      <c r="N157" s="15" t="s">
        <v>1381</v>
      </c>
      <c r="O157" s="14" t="n">
        <v>0</v>
      </c>
      <c r="P157" s="1" t="n">
        <v>0</v>
      </c>
      <c r="Q157" s="15" t="s">
        <v>1389</v>
      </c>
    </row>
    <row r="158" customFormat="false" ht="15" hidden="false" customHeight="true" outlineLevel="0" collapsed="false">
      <c r="A158" s="14" t="n">
        <v>157</v>
      </c>
      <c r="B158" s="15" t="s">
        <v>1382</v>
      </c>
      <c r="C158" s="16" t="s">
        <v>1390</v>
      </c>
      <c r="D158" s="16" t="s">
        <v>1391</v>
      </c>
      <c r="E158" s="14" t="n">
        <v>0.5</v>
      </c>
      <c r="F158" s="14" t="n">
        <v>6.5</v>
      </c>
      <c r="G158" s="14" t="s">
        <v>1334</v>
      </c>
      <c r="H158" s="1" t="n">
        <v>0</v>
      </c>
      <c r="I158" s="16" t="s">
        <v>1392</v>
      </c>
      <c r="J158" s="15" t="s">
        <v>1169</v>
      </c>
      <c r="K158" s="15" t="s">
        <v>511</v>
      </c>
      <c r="L158" s="14" t="n">
        <v>4000</v>
      </c>
      <c r="M158" s="14" t="n">
        <v>0.005</v>
      </c>
      <c r="N158" s="15" t="s">
        <v>1374</v>
      </c>
      <c r="O158" s="14" t="n">
        <v>0</v>
      </c>
      <c r="P158" s="1" t="n">
        <v>0</v>
      </c>
      <c r="Q158" s="14"/>
    </row>
    <row r="159" customFormat="false" ht="15" hidden="false" customHeight="true" outlineLevel="0" collapsed="false">
      <c r="A159" s="14" t="n">
        <v>158</v>
      </c>
      <c r="B159" s="15" t="s">
        <v>1382</v>
      </c>
      <c r="C159" s="16" t="s">
        <v>1390</v>
      </c>
      <c r="D159" s="16" t="s">
        <v>1393</v>
      </c>
      <c r="E159" s="14" t="n">
        <v>1</v>
      </c>
      <c r="F159" s="14" t="n">
        <v>6</v>
      </c>
      <c r="G159" s="14" t="s">
        <v>1334</v>
      </c>
      <c r="H159" s="1" t="n">
        <v>0</v>
      </c>
      <c r="I159" s="16" t="s">
        <v>1394</v>
      </c>
      <c r="J159" s="15" t="s">
        <v>1169</v>
      </c>
      <c r="K159" s="15" t="s">
        <v>511</v>
      </c>
      <c r="L159" s="14" t="n">
        <v>3000</v>
      </c>
      <c r="M159" s="14" t="n">
        <v>0.01</v>
      </c>
      <c r="N159" s="15" t="s">
        <v>1374</v>
      </c>
      <c r="O159" s="14" t="n">
        <v>0</v>
      </c>
      <c r="P159" s="1" t="n">
        <v>0</v>
      </c>
      <c r="Q159" s="14"/>
    </row>
    <row r="160" customFormat="false" ht="15" hidden="false" customHeight="true" outlineLevel="0" collapsed="false">
      <c r="A160" s="14" t="n">
        <v>159</v>
      </c>
      <c r="B160" s="15" t="s">
        <v>1382</v>
      </c>
      <c r="C160" s="16" t="s">
        <v>1390</v>
      </c>
      <c r="D160" s="16" t="s">
        <v>1395</v>
      </c>
      <c r="E160" s="14" t="n">
        <v>15</v>
      </c>
      <c r="F160" s="14" t="n">
        <v>5</v>
      </c>
      <c r="G160" s="14" t="s">
        <v>1334</v>
      </c>
      <c r="H160" s="1" t="n">
        <v>0</v>
      </c>
      <c r="I160" s="16" t="s">
        <v>1396</v>
      </c>
      <c r="J160" s="15" t="s">
        <v>1169</v>
      </c>
      <c r="K160" s="15" t="s">
        <v>511</v>
      </c>
      <c r="L160" s="14" t="n">
        <v>3500</v>
      </c>
      <c r="M160" s="14" t="n">
        <v>0.15</v>
      </c>
      <c r="N160" s="15" t="s">
        <v>1381</v>
      </c>
      <c r="O160" s="14" t="n">
        <v>0</v>
      </c>
      <c r="P160" s="1" t="n">
        <v>0</v>
      </c>
      <c r="Q160" s="15" t="s">
        <v>1397</v>
      </c>
    </row>
    <row r="161" customFormat="false" ht="15" hidden="false" customHeight="true" outlineLevel="0" collapsed="false">
      <c r="A161" s="14" t="n">
        <v>160</v>
      </c>
      <c r="B161" s="15" t="s">
        <v>1398</v>
      </c>
      <c r="C161" s="16" t="s">
        <v>1399</v>
      </c>
      <c r="D161" s="16" t="s">
        <v>1400</v>
      </c>
      <c r="E161" s="14" t="s">
        <v>1334</v>
      </c>
      <c r="F161" s="14" t="s">
        <v>1334</v>
      </c>
      <c r="G161" s="14" t="s">
        <v>1334</v>
      </c>
      <c r="H161" s="1" t="n">
        <v>0</v>
      </c>
      <c r="I161" s="16" t="s">
        <v>1401</v>
      </c>
      <c r="J161" s="15" t="s">
        <v>1345</v>
      </c>
      <c r="K161" s="15" t="s">
        <v>522</v>
      </c>
      <c r="L161" s="14" t="n">
        <v>12000</v>
      </c>
      <c r="M161" s="14" t="n">
        <v>0</v>
      </c>
      <c r="N161" s="15" t="s">
        <v>999</v>
      </c>
      <c r="O161" s="14" t="n">
        <v>0</v>
      </c>
      <c r="P161" s="1" t="n">
        <v>0</v>
      </c>
      <c r="Q161" s="15" t="s">
        <v>1402</v>
      </c>
    </row>
    <row r="162" customFormat="false" ht="15" hidden="false" customHeight="true" outlineLevel="0" collapsed="false">
      <c r="A162" s="14" t="n">
        <v>161</v>
      </c>
      <c r="B162" s="15" t="s">
        <v>1398</v>
      </c>
      <c r="C162" s="16" t="s">
        <v>1399</v>
      </c>
      <c r="D162" s="16" t="s">
        <v>1403</v>
      </c>
      <c r="E162" s="14" t="n">
        <v>15</v>
      </c>
      <c r="F162" s="14" t="n">
        <v>4</v>
      </c>
      <c r="G162" s="14" t="s">
        <v>1334</v>
      </c>
      <c r="H162" s="1" t="n">
        <v>0</v>
      </c>
      <c r="I162" s="16" t="s">
        <v>1404</v>
      </c>
      <c r="J162" s="15" t="s">
        <v>1405</v>
      </c>
      <c r="K162" s="15" t="s">
        <v>522</v>
      </c>
      <c r="L162" s="14" t="n">
        <v>3000</v>
      </c>
      <c r="M162" s="14" t="n">
        <v>0.15</v>
      </c>
      <c r="N162" s="15" t="s">
        <v>1381</v>
      </c>
      <c r="O162" s="14" t="n">
        <v>0</v>
      </c>
      <c r="P162" s="1" t="n">
        <v>0</v>
      </c>
      <c r="Q162" s="15" t="s">
        <v>1406</v>
      </c>
    </row>
    <row r="163" customFormat="false" ht="15" hidden="false" customHeight="true" outlineLevel="0" collapsed="false">
      <c r="A163" s="14" t="n">
        <v>162</v>
      </c>
      <c r="B163" s="15" t="s">
        <v>1398</v>
      </c>
      <c r="C163" s="16" t="s">
        <v>1407</v>
      </c>
      <c r="D163" s="16" t="s">
        <v>1408</v>
      </c>
      <c r="E163" s="14" t="s">
        <v>1334</v>
      </c>
      <c r="F163" s="14" t="s">
        <v>1334</v>
      </c>
      <c r="G163" s="14" t="s">
        <v>1334</v>
      </c>
      <c r="H163" s="1" t="n">
        <v>0</v>
      </c>
      <c r="I163" s="16" t="s">
        <v>1407</v>
      </c>
      <c r="J163" s="15" t="s">
        <v>1345</v>
      </c>
      <c r="K163" s="15" t="s">
        <v>522</v>
      </c>
      <c r="L163" s="14" t="n">
        <v>5000</v>
      </c>
      <c r="M163" s="14" t="n">
        <v>0</v>
      </c>
      <c r="N163" s="15" t="s">
        <v>999</v>
      </c>
      <c r="O163" s="14" t="n">
        <v>0</v>
      </c>
      <c r="P163" s="1" t="n">
        <v>0</v>
      </c>
      <c r="Q163" s="14" t="s">
        <v>1409</v>
      </c>
    </row>
    <row r="164" customFormat="false" ht="15" hidden="false" customHeight="true" outlineLevel="0" collapsed="false">
      <c r="A164" s="14" t="n">
        <v>163</v>
      </c>
      <c r="B164" s="15" t="s">
        <v>1398</v>
      </c>
      <c r="C164" s="16" t="s">
        <v>1410</v>
      </c>
      <c r="D164" s="16" t="s">
        <v>1411</v>
      </c>
      <c r="E164" s="14" t="s">
        <v>1334</v>
      </c>
      <c r="F164" s="14" t="s">
        <v>1334</v>
      </c>
      <c r="G164" s="14" t="s">
        <v>1334</v>
      </c>
      <c r="H164" s="1" t="n">
        <v>0</v>
      </c>
      <c r="I164" s="16" t="s">
        <v>1412</v>
      </c>
      <c r="J164" s="15" t="s">
        <v>1046</v>
      </c>
      <c r="K164" s="15" t="s">
        <v>1181</v>
      </c>
      <c r="L164" s="14" t="n">
        <v>6000</v>
      </c>
      <c r="M164" s="14" t="n">
        <v>0</v>
      </c>
      <c r="N164" s="15" t="s">
        <v>999</v>
      </c>
      <c r="O164" s="14" t="n">
        <v>0</v>
      </c>
      <c r="P164" s="1" t="n">
        <v>0</v>
      </c>
      <c r="Q164" s="15" t="s">
        <v>1413</v>
      </c>
    </row>
    <row r="165" customFormat="false" ht="16.5" hidden="false" customHeight="true" outlineLevel="0" collapsed="false">
      <c r="A165" s="1" t="n">
        <v>164</v>
      </c>
      <c r="B165" s="22" t="s">
        <v>887</v>
      </c>
      <c r="C165" s="22" t="s">
        <v>941</v>
      </c>
      <c r="D165" s="22" t="s">
        <v>1414</v>
      </c>
      <c r="E165" s="1" t="n">
        <v>4</v>
      </c>
      <c r="F165" s="1" t="n">
        <v>3.5</v>
      </c>
      <c r="G165" s="1" t="n">
        <v>0.25</v>
      </c>
      <c r="H165" s="1" t="n">
        <v>0</v>
      </c>
      <c r="I165" s="22" t="s">
        <v>1415</v>
      </c>
      <c r="J165" s="22" t="s">
        <v>1416</v>
      </c>
      <c r="K165" s="22" t="s">
        <v>939</v>
      </c>
      <c r="L165" s="1" t="n">
        <v>650</v>
      </c>
      <c r="M165" s="1" t="n">
        <v>0.04</v>
      </c>
      <c r="N165" s="1" t="s">
        <v>1417</v>
      </c>
      <c r="O165" s="1" t="n">
        <v>0.0025</v>
      </c>
      <c r="P165" s="1" t="n">
        <v>0</v>
      </c>
      <c r="Q165" s="22" t="s">
        <v>1418</v>
      </c>
    </row>
    <row r="166" customFormat="false" ht="16.5" hidden="false" customHeight="true" outlineLevel="0" collapsed="false">
      <c r="A166" s="1" t="n">
        <v>165</v>
      </c>
      <c r="B166" s="22" t="s">
        <v>887</v>
      </c>
      <c r="C166" s="22" t="s">
        <v>941</v>
      </c>
      <c r="D166" s="22" t="s">
        <v>1419</v>
      </c>
      <c r="E166" s="1" t="n">
        <v>22.8</v>
      </c>
      <c r="F166" s="1" t="n">
        <v>3.5</v>
      </c>
      <c r="G166" s="1" t="n">
        <v>0.2</v>
      </c>
      <c r="H166" s="1" t="n">
        <v>0</v>
      </c>
      <c r="I166" s="22" t="s">
        <v>1420</v>
      </c>
      <c r="J166" s="22" t="s">
        <v>1421</v>
      </c>
      <c r="K166" s="22" t="s">
        <v>939</v>
      </c>
      <c r="L166" s="1" t="n">
        <v>2966</v>
      </c>
      <c r="M166" s="1" t="n">
        <v>0.228</v>
      </c>
      <c r="N166" s="1" t="s">
        <v>1417</v>
      </c>
      <c r="O166" s="1" t="n">
        <v>0.002</v>
      </c>
      <c r="P166" s="1" t="n">
        <v>0</v>
      </c>
      <c r="Q166" s="22" t="s">
        <v>1422</v>
      </c>
    </row>
    <row r="167" customFormat="false" ht="16.5" hidden="false" customHeight="true" outlineLevel="0" collapsed="false">
      <c r="A167" s="1" t="n">
        <v>166</v>
      </c>
      <c r="B167" s="22" t="s">
        <v>1304</v>
      </c>
      <c r="C167" s="22" t="s">
        <v>1304</v>
      </c>
      <c r="D167" s="22" t="s">
        <v>1423</v>
      </c>
      <c r="E167" s="1" t="n">
        <v>95</v>
      </c>
      <c r="H167" s="1" t="n">
        <v>0</v>
      </c>
      <c r="I167" s="1" t="s">
        <v>1424</v>
      </c>
      <c r="J167" s="22" t="s">
        <v>1345</v>
      </c>
      <c r="K167" s="22" t="s">
        <v>1425</v>
      </c>
      <c r="L167" s="1" t="n">
        <v>17260</v>
      </c>
      <c r="M167" s="1" t="n">
        <v>0.95</v>
      </c>
      <c r="N167" s="1" t="s">
        <v>110</v>
      </c>
      <c r="O167" s="1" t="n">
        <v>0</v>
      </c>
      <c r="P167" s="1" t="n">
        <v>0</v>
      </c>
      <c r="Q167" s="22" t="s">
        <v>1426</v>
      </c>
    </row>
    <row r="168" customFormat="false" ht="16.5" hidden="false" customHeight="true" outlineLevel="0" collapsed="false">
      <c r="A168" s="1" t="n">
        <v>167</v>
      </c>
      <c r="B168" s="22" t="s">
        <v>1398</v>
      </c>
      <c r="C168" s="22" t="s">
        <v>1427</v>
      </c>
      <c r="D168" s="22" t="s">
        <v>1428</v>
      </c>
      <c r="E168" s="1" t="n">
        <v>95</v>
      </c>
      <c r="H168" s="1" t="n">
        <v>0</v>
      </c>
      <c r="I168" s="22" t="s">
        <v>1429</v>
      </c>
      <c r="J168" s="22" t="s">
        <v>1169</v>
      </c>
      <c r="K168" s="22" t="s">
        <v>511</v>
      </c>
      <c r="L168" s="1" t="n">
        <v>40000</v>
      </c>
      <c r="M168" s="1" t="n">
        <v>0.95</v>
      </c>
      <c r="N168" s="1" t="s">
        <v>110</v>
      </c>
      <c r="O168" s="1" t="n">
        <v>0</v>
      </c>
      <c r="P168" s="1" t="n">
        <v>0</v>
      </c>
      <c r="Q168" s="22" t="s">
        <v>1430</v>
      </c>
    </row>
    <row r="169" customFormat="false" ht="16.5" hidden="false" customHeight="true" outlineLevel="0" collapsed="false">
      <c r="A169" s="1" t="n">
        <v>168</v>
      </c>
      <c r="B169" s="22" t="s">
        <v>1398</v>
      </c>
      <c r="C169" s="22" t="s">
        <v>1431</v>
      </c>
      <c r="D169" s="22" t="s">
        <v>1432</v>
      </c>
      <c r="E169" s="1" t="n">
        <v>50</v>
      </c>
      <c r="H169" s="1" t="n">
        <v>0</v>
      </c>
      <c r="I169" s="22" t="s">
        <v>1433</v>
      </c>
      <c r="J169" s="22" t="s">
        <v>1169</v>
      </c>
      <c r="K169" s="22" t="s">
        <v>1434</v>
      </c>
      <c r="L169" s="1" t="n">
        <v>4200</v>
      </c>
      <c r="M169" s="1" t="n">
        <v>0.5</v>
      </c>
      <c r="N169" s="1" t="s">
        <v>110</v>
      </c>
      <c r="O169" s="1" t="n">
        <v>0</v>
      </c>
      <c r="P169" s="1" t="n">
        <v>0</v>
      </c>
      <c r="Q169" s="22" t="s">
        <v>1435</v>
      </c>
    </row>
    <row r="170" customFormat="false" ht="16.5" hidden="false" customHeight="true" outlineLevel="0" collapsed="false">
      <c r="A170" s="1" t="n">
        <v>169</v>
      </c>
      <c r="B170" s="22" t="s">
        <v>994</v>
      </c>
      <c r="C170" s="22" t="s">
        <v>1033</v>
      </c>
      <c r="D170" s="22" t="s">
        <v>1436</v>
      </c>
      <c r="H170" s="1" t="n">
        <v>0.5</v>
      </c>
      <c r="I170" s="22" t="s">
        <v>1437</v>
      </c>
      <c r="J170" s="22" t="s">
        <v>1345</v>
      </c>
      <c r="K170" s="22" t="s">
        <v>1434</v>
      </c>
      <c r="L170" s="1" t="n">
        <v>8000</v>
      </c>
      <c r="N170" s="1" t="s">
        <v>110</v>
      </c>
      <c r="O170" s="1" t="n">
        <v>0</v>
      </c>
      <c r="P170" s="1" t="n">
        <v>0.005</v>
      </c>
      <c r="Q170" s="22" t="s">
        <v>1438</v>
      </c>
    </row>
    <row r="171" customFormat="false" ht="16.5" hidden="false" customHeight="true" outlineLevel="0" collapsed="false">
      <c r="A171" s="1" t="n">
        <v>170</v>
      </c>
      <c r="B171" s="22" t="s">
        <v>994</v>
      </c>
      <c r="C171" s="22" t="s">
        <v>995</v>
      </c>
      <c r="D171" s="22" t="s">
        <v>1439</v>
      </c>
      <c r="E171" s="1" t="n">
        <v>100</v>
      </c>
      <c r="H171" s="1" t="n">
        <v>1.2</v>
      </c>
      <c r="I171" s="22" t="s">
        <v>1440</v>
      </c>
      <c r="J171" s="22" t="s">
        <v>1345</v>
      </c>
      <c r="K171" s="22" t="s">
        <v>1434</v>
      </c>
      <c r="L171" s="1" t="n">
        <v>3500</v>
      </c>
      <c r="M171" s="1" t="n">
        <v>1</v>
      </c>
      <c r="N171" s="1" t="s">
        <v>110</v>
      </c>
      <c r="O171" s="1" t="n">
        <v>0</v>
      </c>
      <c r="P171" s="1" t="n">
        <v>0.012</v>
      </c>
      <c r="Q171" s="22" t="s">
        <v>1441</v>
      </c>
    </row>
    <row r="172" customFormat="false" ht="16.5" hidden="false" customHeight="true" outlineLevel="0" collapsed="false">
      <c r="A172" s="1" t="n">
        <v>171</v>
      </c>
      <c r="B172" s="22" t="s">
        <v>1083</v>
      </c>
      <c r="C172" s="22" t="s">
        <v>1109</v>
      </c>
      <c r="D172" s="22" t="s">
        <v>1442</v>
      </c>
      <c r="H172" s="1" t="n">
        <v>1500</v>
      </c>
      <c r="I172" s="1" t="s">
        <v>1443</v>
      </c>
      <c r="J172" s="22" t="s">
        <v>1345</v>
      </c>
      <c r="K172" s="22" t="s">
        <v>1425</v>
      </c>
      <c r="L172" s="1" t="n">
        <v>80000</v>
      </c>
      <c r="N172" s="1" t="s">
        <v>110</v>
      </c>
      <c r="O172" s="1" t="n">
        <v>0</v>
      </c>
      <c r="P172" s="1" t="n">
        <v>15</v>
      </c>
      <c r="Q172" s="22" t="s">
        <v>1444</v>
      </c>
    </row>
    <row r="173" customFormat="false" ht="15" hidden="false" customHeight="true" outlineLevel="0" collapsed="false">
      <c r="A173" s="1" t="n">
        <v>172</v>
      </c>
      <c r="B173" s="22" t="s">
        <v>1083</v>
      </c>
      <c r="C173" s="22" t="s">
        <v>1109</v>
      </c>
      <c r="D173" s="22" t="s">
        <v>1445</v>
      </c>
      <c r="H173" s="1" t="n">
        <v>3000</v>
      </c>
      <c r="I173" s="22" t="s">
        <v>1446</v>
      </c>
      <c r="J173" s="22" t="s">
        <v>1345</v>
      </c>
      <c r="K173" s="22" t="s">
        <v>511</v>
      </c>
      <c r="L173" s="1" t="n">
        <v>200000</v>
      </c>
      <c r="N173" s="1" t="s">
        <v>110</v>
      </c>
      <c r="O173" s="1" t="n">
        <v>0</v>
      </c>
      <c r="P173" s="1" t="n">
        <v>30</v>
      </c>
      <c r="Q173" s="22" t="s">
        <v>1447</v>
      </c>
    </row>
    <row r="174" customFormat="false" ht="16.5" hidden="false" customHeight="true" outlineLevel="0" collapsed="false">
      <c r="A174" s="1" t="n">
        <v>173</v>
      </c>
      <c r="B174" s="22" t="s">
        <v>1350</v>
      </c>
      <c r="C174" s="22" t="s">
        <v>1367</v>
      </c>
      <c r="D174" s="22" t="s">
        <v>1448</v>
      </c>
      <c r="E174" s="1" t="n">
        <v>80</v>
      </c>
      <c r="H174" s="1" t="n">
        <v>0</v>
      </c>
      <c r="I174" s="22" t="s">
        <v>1449</v>
      </c>
      <c r="J174" s="22" t="s">
        <v>1345</v>
      </c>
      <c r="K174" s="22" t="s">
        <v>1434</v>
      </c>
      <c r="L174" s="1" t="n">
        <v>2300</v>
      </c>
      <c r="M174" s="1" t="n">
        <v>0.8</v>
      </c>
      <c r="N174" s="1" t="s">
        <v>110</v>
      </c>
      <c r="O174" s="1" t="n">
        <v>0</v>
      </c>
      <c r="P174" s="1" t="n">
        <v>0</v>
      </c>
      <c r="Q174" s="22" t="s">
        <v>1450</v>
      </c>
    </row>
    <row r="175" customFormat="false" ht="16.5" hidden="false" customHeight="true" outlineLevel="0" collapsed="false">
      <c r="A175" s="1" t="n">
        <v>174</v>
      </c>
      <c r="B175" s="22" t="s">
        <v>1135</v>
      </c>
      <c r="C175" s="1" t="s">
        <v>1451</v>
      </c>
      <c r="D175" s="22" t="s">
        <v>1452</v>
      </c>
      <c r="E175" s="1" t="n">
        <v>100</v>
      </c>
      <c r="H175" s="1" t="n">
        <v>0</v>
      </c>
      <c r="I175" s="22" t="s">
        <v>1453</v>
      </c>
      <c r="J175" s="22" t="s">
        <v>1345</v>
      </c>
      <c r="K175" s="22" t="s">
        <v>1434</v>
      </c>
      <c r="L175" s="1" t="n">
        <v>1700</v>
      </c>
      <c r="M175" s="1" t="n">
        <v>1</v>
      </c>
      <c r="N175" s="22" t="s">
        <v>1454</v>
      </c>
      <c r="O175" s="1" t="n">
        <v>0</v>
      </c>
      <c r="P175" s="1" t="n">
        <v>0</v>
      </c>
      <c r="Q175" s="1" t="s">
        <v>1455</v>
      </c>
    </row>
  </sheetData>
  <autoFilter ref="A1:O2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28"/>
  </cols>
  <sheetData>
    <row r="1" customFormat="false" ht="26.25" hidden="false" customHeight="true" outlineLevel="0" collapsed="false">
      <c r="A1" s="2" t="s">
        <v>0</v>
      </c>
      <c r="B1" s="3" t="s">
        <v>1456</v>
      </c>
      <c r="C1" s="3" t="s">
        <v>1457</v>
      </c>
      <c r="D1" s="2" t="s">
        <v>1458</v>
      </c>
      <c r="E1" s="3" t="s">
        <v>102</v>
      </c>
      <c r="F1" s="3" t="s">
        <v>1459</v>
      </c>
      <c r="G1" s="3" t="s">
        <v>1460</v>
      </c>
      <c r="H1" s="3" t="s">
        <v>1461</v>
      </c>
      <c r="I1" s="3" t="s">
        <v>100</v>
      </c>
      <c r="J1" s="27" t="s">
        <v>1462</v>
      </c>
      <c r="K1" s="27" t="s">
        <v>1463</v>
      </c>
      <c r="L1" s="27" t="s">
        <v>1464</v>
      </c>
      <c r="M1" s="27" t="s">
        <v>1465</v>
      </c>
      <c r="N1" s="28" t="s">
        <v>1466</v>
      </c>
      <c r="O1" s="28" t="s">
        <v>1467</v>
      </c>
    </row>
    <row r="2" customFormat="false" ht="15" hidden="false" customHeight="true" outlineLevel="0" collapsed="false">
      <c r="A2" s="4" t="n">
        <v>1</v>
      </c>
      <c r="B2" s="5" t="s">
        <v>1468</v>
      </c>
      <c r="C2" s="4" t="s">
        <v>1469</v>
      </c>
      <c r="D2" s="4" t="s">
        <v>1470</v>
      </c>
      <c r="E2" s="4" t="s">
        <v>1471</v>
      </c>
      <c r="F2" s="4" t="s">
        <v>1472</v>
      </c>
      <c r="G2" s="4" t="s">
        <v>1473</v>
      </c>
      <c r="H2" s="4" t="s">
        <v>110</v>
      </c>
      <c r="I2" s="5" t="s">
        <v>1474</v>
      </c>
      <c r="J2" s="29" t="n">
        <v>10</v>
      </c>
      <c r="K2" s="29" t="n">
        <v>14</v>
      </c>
      <c r="L2" s="29" t="n">
        <v>3</v>
      </c>
      <c r="M2" s="29" t="n">
        <v>4</v>
      </c>
      <c r="N2" s="29" t="n">
        <v>0.3</v>
      </c>
      <c r="O2" s="29" t="n">
        <v>1.5</v>
      </c>
    </row>
    <row r="3" customFormat="false" ht="15" hidden="false" customHeight="true" outlineLevel="0" collapsed="false">
      <c r="A3" s="6" t="n">
        <v>2</v>
      </c>
      <c r="B3" s="7" t="s">
        <v>12</v>
      </c>
      <c r="C3" s="6" t="s">
        <v>1475</v>
      </c>
      <c r="D3" s="6" t="s">
        <v>1476</v>
      </c>
      <c r="E3" s="6" t="s">
        <v>1477</v>
      </c>
      <c r="F3" s="6" t="s">
        <v>1478</v>
      </c>
      <c r="G3" s="6" t="s">
        <v>1479</v>
      </c>
      <c r="H3" s="6" t="s">
        <v>110</v>
      </c>
      <c r="I3" s="7" t="s">
        <v>1480</v>
      </c>
      <c r="J3" s="29" t="n">
        <v>8</v>
      </c>
      <c r="K3" s="29" t="n">
        <v>13</v>
      </c>
      <c r="L3" s="29" t="n">
        <v>3</v>
      </c>
      <c r="M3" s="29" t="n">
        <v>4.5</v>
      </c>
      <c r="N3" s="29" t="n">
        <v>0.2</v>
      </c>
      <c r="O3" s="29" t="n">
        <v>1</v>
      </c>
    </row>
    <row r="4" customFormat="false" ht="15" hidden="false" customHeight="true" outlineLevel="0" collapsed="false">
      <c r="A4" s="4" t="n">
        <v>3</v>
      </c>
      <c r="B4" s="5" t="s">
        <v>17</v>
      </c>
      <c r="C4" s="4" t="s">
        <v>1481</v>
      </c>
      <c r="D4" s="4" t="s">
        <v>1482</v>
      </c>
      <c r="E4" s="4" t="s">
        <v>1483</v>
      </c>
      <c r="F4" s="4" t="s">
        <v>110</v>
      </c>
      <c r="G4" s="4" t="s">
        <v>110</v>
      </c>
      <c r="H4" s="4" t="s">
        <v>1482</v>
      </c>
      <c r="I4" s="8"/>
      <c r="J4" s="29" t="n">
        <v>10</v>
      </c>
      <c r="K4" s="29" t="n">
        <v>12</v>
      </c>
      <c r="L4" s="29" t="n">
        <v>2.5</v>
      </c>
      <c r="M4" s="29" t="n">
        <v>4</v>
      </c>
      <c r="N4" s="29" t="n">
        <v>0.1</v>
      </c>
      <c r="O4" s="29" t="n">
        <v>0.5</v>
      </c>
    </row>
    <row r="5" customFormat="false" ht="15" hidden="false" customHeight="true" outlineLevel="0" collapsed="false">
      <c r="A5" s="6" t="n">
        <v>4</v>
      </c>
      <c r="B5" s="7" t="s">
        <v>21</v>
      </c>
      <c r="C5" s="6" t="s">
        <v>1484</v>
      </c>
      <c r="D5" s="6" t="s">
        <v>1485</v>
      </c>
      <c r="E5" s="6" t="s">
        <v>1484</v>
      </c>
      <c r="F5" s="6" t="s">
        <v>110</v>
      </c>
      <c r="G5" s="6" t="s">
        <v>110</v>
      </c>
      <c r="H5" s="6" t="s">
        <v>1482</v>
      </c>
      <c r="I5" s="7" t="s">
        <v>1486</v>
      </c>
      <c r="J5" s="29" t="n">
        <v>0</v>
      </c>
      <c r="K5" s="29" t="n">
        <v>0</v>
      </c>
      <c r="L5" s="29" t="n">
        <v>4</v>
      </c>
      <c r="M5" s="29" t="n">
        <v>6.5</v>
      </c>
      <c r="N5" s="29" t="n">
        <v>0</v>
      </c>
      <c r="O5" s="29" t="n">
        <v>0</v>
      </c>
    </row>
    <row r="6" customFormat="false" ht="15" hidden="false" customHeight="true" outlineLevel="0" collapsed="false">
      <c r="A6" s="4" t="n">
        <v>5</v>
      </c>
      <c r="B6" s="5" t="s">
        <v>1487</v>
      </c>
      <c r="C6" s="4" t="s">
        <v>1488</v>
      </c>
      <c r="D6" s="4" t="s">
        <v>1489</v>
      </c>
      <c r="E6" s="4" t="s">
        <v>110</v>
      </c>
      <c r="F6" s="4" t="s">
        <v>110</v>
      </c>
      <c r="G6" s="4" t="s">
        <v>110</v>
      </c>
      <c r="H6" s="4" t="s">
        <v>110</v>
      </c>
      <c r="I6" s="5" t="s">
        <v>1490</v>
      </c>
      <c r="J6" s="29" t="n">
        <v>8</v>
      </c>
      <c r="K6" s="29" t="n">
        <v>11</v>
      </c>
      <c r="L6" s="29" t="n">
        <v>5.5</v>
      </c>
      <c r="M6" s="29" t="n">
        <v>6.5</v>
      </c>
      <c r="N6" s="29"/>
      <c r="O6" s="29"/>
    </row>
    <row r="7" customFormat="false" ht="15" hidden="false" customHeight="true" outlineLevel="0" collapsed="false">
      <c r="A7" s="6" t="n">
        <v>6</v>
      </c>
      <c r="B7" s="7" t="s">
        <v>1491</v>
      </c>
      <c r="C7" s="6" t="s">
        <v>1492</v>
      </c>
      <c r="D7" s="6" t="s">
        <v>1493</v>
      </c>
      <c r="E7" s="6" t="s">
        <v>110</v>
      </c>
      <c r="F7" s="6" t="s">
        <v>110</v>
      </c>
      <c r="G7" s="6" t="s">
        <v>110</v>
      </c>
      <c r="H7" s="6" t="s">
        <v>110</v>
      </c>
      <c r="I7" s="7" t="s">
        <v>1494</v>
      </c>
      <c r="J7" s="29" t="n">
        <v>0</v>
      </c>
      <c r="K7" s="29" t="n">
        <v>2</v>
      </c>
      <c r="L7" s="29" t="n">
        <v>4.5</v>
      </c>
      <c r="M7" s="29" t="n">
        <v>5.5</v>
      </c>
      <c r="N7" s="29"/>
      <c r="O7" s="29"/>
    </row>
    <row r="8" customFormat="false" ht="15" hidden="false" customHeight="true" outlineLevel="0" collapsed="false">
      <c r="A8" s="4" t="n">
        <v>7</v>
      </c>
      <c r="B8" s="5" t="s">
        <v>1495</v>
      </c>
      <c r="C8" s="4" t="s">
        <v>1496</v>
      </c>
      <c r="D8" s="4" t="s">
        <v>1497</v>
      </c>
      <c r="E8" s="4" t="s">
        <v>110</v>
      </c>
      <c r="F8" s="4" t="s">
        <v>110</v>
      </c>
      <c r="G8" s="4" t="s">
        <v>110</v>
      </c>
      <c r="H8" s="4" t="s">
        <v>110</v>
      </c>
      <c r="I8" s="5" t="s">
        <v>1498</v>
      </c>
      <c r="J8" s="29" t="n">
        <v>0</v>
      </c>
      <c r="K8" s="29" t="n">
        <v>8</v>
      </c>
      <c r="L8" s="29" t="n">
        <v>4</v>
      </c>
      <c r="M8" s="29" t="n">
        <v>7</v>
      </c>
      <c r="N8" s="29"/>
      <c r="O8" s="29"/>
    </row>
    <row r="9" customFormat="false" ht="15" hidden="false" customHeight="true" outlineLevel="0" collapsed="false">
      <c r="A9" s="6" t="n">
        <v>8</v>
      </c>
      <c r="B9" s="7" t="s">
        <v>53</v>
      </c>
      <c r="C9" s="6" t="s">
        <v>1499</v>
      </c>
      <c r="D9" s="6" t="s">
        <v>1500</v>
      </c>
      <c r="E9" s="6" t="s">
        <v>110</v>
      </c>
      <c r="F9" s="6" t="s">
        <v>110</v>
      </c>
      <c r="G9" s="6" t="s">
        <v>110</v>
      </c>
      <c r="H9" s="6" t="s">
        <v>110</v>
      </c>
      <c r="I9" s="7" t="s">
        <v>1501</v>
      </c>
      <c r="J9" s="29" t="n">
        <v>8</v>
      </c>
      <c r="K9" s="29" t="n">
        <v>12</v>
      </c>
      <c r="L9" s="29" t="n">
        <v>6.5</v>
      </c>
      <c r="M9" s="29" t="n">
        <v>7</v>
      </c>
      <c r="N9" s="29"/>
      <c r="O9" s="29"/>
    </row>
    <row r="10" customFormat="false" ht="15" hidden="false" customHeight="true" outlineLevel="0" collapsed="false">
      <c r="A10" s="4" t="n">
        <v>9</v>
      </c>
      <c r="B10" s="5" t="s">
        <v>30</v>
      </c>
      <c r="C10" s="4" t="s">
        <v>1502</v>
      </c>
      <c r="D10" s="4" t="s">
        <v>1503</v>
      </c>
      <c r="E10" s="4" t="s">
        <v>1504</v>
      </c>
      <c r="F10" s="4" t="s">
        <v>110</v>
      </c>
      <c r="G10" s="4" t="s">
        <v>1505</v>
      </c>
      <c r="H10" s="4" t="s">
        <v>110</v>
      </c>
      <c r="I10" s="5" t="s">
        <v>1506</v>
      </c>
      <c r="J10" s="29" t="n">
        <v>10</v>
      </c>
      <c r="K10" s="29" t="n">
        <v>16</v>
      </c>
      <c r="L10" s="29" t="n">
        <v>3.5</v>
      </c>
      <c r="M10" s="29" t="n">
        <v>4.5</v>
      </c>
      <c r="N10" s="29" t="n">
        <v>0.5</v>
      </c>
      <c r="O10" s="29" t="n">
        <v>1.5</v>
      </c>
    </row>
    <row r="11" customFormat="false" ht="15" hidden="false" customHeight="true" outlineLevel="0" collapsed="false">
      <c r="A11" s="6" t="n">
        <v>10</v>
      </c>
      <c r="B11" s="7" t="s">
        <v>26</v>
      </c>
      <c r="C11" s="6" t="s">
        <v>1469</v>
      </c>
      <c r="D11" s="6" t="s">
        <v>1503</v>
      </c>
      <c r="E11" s="6" t="s">
        <v>1507</v>
      </c>
      <c r="F11" s="6" t="s">
        <v>110</v>
      </c>
      <c r="G11" s="6" t="s">
        <v>1505</v>
      </c>
      <c r="H11" s="6" t="s">
        <v>110</v>
      </c>
      <c r="I11" s="7" t="s">
        <v>1508</v>
      </c>
      <c r="J11" s="29" t="n">
        <v>10</v>
      </c>
      <c r="K11" s="29" t="n">
        <v>14</v>
      </c>
      <c r="L11" s="29" t="n">
        <v>3.5</v>
      </c>
      <c r="M11" s="29" t="n">
        <v>4.5</v>
      </c>
      <c r="N11" s="29" t="n">
        <v>0.5</v>
      </c>
      <c r="O11" s="29" t="n">
        <v>1</v>
      </c>
    </row>
    <row r="12" customFormat="false" ht="15" hidden="false" customHeight="true" outlineLevel="0" collapsed="false">
      <c r="A12" s="4" t="n">
        <v>11</v>
      </c>
      <c r="B12" s="5" t="s">
        <v>58</v>
      </c>
      <c r="C12" s="4" t="s">
        <v>1469</v>
      </c>
      <c r="D12" s="4" t="s">
        <v>1470</v>
      </c>
      <c r="E12" s="4" t="s">
        <v>1509</v>
      </c>
      <c r="F12" s="4" t="s">
        <v>110</v>
      </c>
      <c r="G12" s="4" t="s">
        <v>110</v>
      </c>
      <c r="H12" s="4" t="s">
        <v>110</v>
      </c>
      <c r="I12" s="5" t="s">
        <v>1510</v>
      </c>
      <c r="J12" s="29" t="n">
        <v>10</v>
      </c>
      <c r="K12" s="29" t="n">
        <v>14</v>
      </c>
      <c r="L12" s="29" t="n">
        <v>3</v>
      </c>
      <c r="M12" s="29" t="n">
        <v>4</v>
      </c>
      <c r="N12" s="29" t="n">
        <v>0.2</v>
      </c>
      <c r="O12" s="29" t="n">
        <v>0.5</v>
      </c>
    </row>
    <row r="13" customFormat="false" ht="15" hidden="false" customHeight="true" outlineLevel="0" collapsed="false">
      <c r="A13" s="6" t="n">
        <v>12</v>
      </c>
      <c r="B13" s="7" t="s">
        <v>461</v>
      </c>
      <c r="C13" s="6" t="s">
        <v>1511</v>
      </c>
      <c r="D13" s="6" t="s">
        <v>1470</v>
      </c>
      <c r="E13" s="6" t="s">
        <v>1512</v>
      </c>
      <c r="F13" s="6" t="s">
        <v>110</v>
      </c>
      <c r="G13" s="6" t="s">
        <v>110</v>
      </c>
      <c r="H13" s="6" t="s">
        <v>110</v>
      </c>
      <c r="I13" s="7" t="s">
        <v>1513</v>
      </c>
      <c r="J13" s="29" t="n">
        <v>5</v>
      </c>
      <c r="K13" s="29" t="n">
        <v>8</v>
      </c>
      <c r="L13" s="29" t="n">
        <v>3</v>
      </c>
      <c r="M13" s="29" t="n">
        <v>4</v>
      </c>
      <c r="N13" s="29" t="n">
        <v>0.1</v>
      </c>
      <c r="O13" s="29" t="n">
        <v>0.3</v>
      </c>
    </row>
    <row r="14" customFormat="false" ht="15" hidden="false" customHeight="true" outlineLevel="0" collapsed="false">
      <c r="A14" s="4" t="n">
        <v>13</v>
      </c>
      <c r="B14" s="5" t="s">
        <v>62</v>
      </c>
      <c r="C14" s="4" t="s">
        <v>1514</v>
      </c>
      <c r="D14" s="4" t="s">
        <v>1476</v>
      </c>
      <c r="E14" s="4" t="s">
        <v>1483</v>
      </c>
      <c r="F14" s="4" t="s">
        <v>110</v>
      </c>
      <c r="G14" s="4" t="s">
        <v>110</v>
      </c>
      <c r="H14" s="4" t="s">
        <v>110</v>
      </c>
      <c r="I14" s="5" t="s">
        <v>1515</v>
      </c>
      <c r="J14" s="29" t="n">
        <v>5</v>
      </c>
      <c r="K14" s="29" t="n">
        <v>10</v>
      </c>
      <c r="L14" s="29" t="n">
        <v>3</v>
      </c>
      <c r="M14" s="29" t="n">
        <v>4.5</v>
      </c>
      <c r="N14" s="29" t="n">
        <v>0.1</v>
      </c>
      <c r="O14" s="29" t="n">
        <v>0.5</v>
      </c>
    </row>
    <row r="15" customFormat="false" ht="15" hidden="false" customHeight="true" outlineLevel="0" collapsed="false">
      <c r="A15" s="6" t="n">
        <v>14</v>
      </c>
      <c r="B15" s="7" t="s">
        <v>70</v>
      </c>
      <c r="C15" s="6" t="s">
        <v>1475</v>
      </c>
      <c r="D15" s="6" t="s">
        <v>1516</v>
      </c>
      <c r="E15" s="6" t="s">
        <v>1517</v>
      </c>
      <c r="F15" s="6" t="s">
        <v>110</v>
      </c>
      <c r="G15" s="6" t="s">
        <v>110</v>
      </c>
      <c r="H15" s="6" t="s">
        <v>1518</v>
      </c>
      <c r="I15" s="9" t="s">
        <v>1519</v>
      </c>
      <c r="J15" s="29" t="n">
        <v>8</v>
      </c>
      <c r="K15" s="29" t="n">
        <v>13</v>
      </c>
      <c r="L15" s="29" t="n">
        <v>3</v>
      </c>
      <c r="M15" s="29" t="n">
        <v>5</v>
      </c>
      <c r="N15" s="29" t="n">
        <v>0.1</v>
      </c>
      <c r="O15" s="29" t="n">
        <v>0.8</v>
      </c>
    </row>
    <row r="16" customFormat="false" ht="15" hidden="false" customHeight="true" outlineLevel="0" collapsed="false">
      <c r="A16" s="4" t="n">
        <v>15</v>
      </c>
      <c r="B16" s="5" t="s">
        <v>1520</v>
      </c>
      <c r="C16" s="4" t="s">
        <v>1521</v>
      </c>
      <c r="D16" s="4" t="s">
        <v>1522</v>
      </c>
      <c r="E16" s="4" t="s">
        <v>110</v>
      </c>
      <c r="F16" s="4" t="s">
        <v>110</v>
      </c>
      <c r="G16" s="4" t="s">
        <v>110</v>
      </c>
      <c r="H16" s="4" t="s">
        <v>110</v>
      </c>
      <c r="I16" s="5" t="s">
        <v>1523</v>
      </c>
      <c r="J16" s="29" t="n">
        <v>8</v>
      </c>
      <c r="K16" s="29" t="n">
        <v>14</v>
      </c>
      <c r="L16" s="29" t="n">
        <v>4</v>
      </c>
      <c r="M16" s="29" t="n">
        <v>6</v>
      </c>
      <c r="N16" s="29"/>
      <c r="O16" s="29"/>
    </row>
    <row r="17" customFormat="false" ht="15" hidden="false" customHeight="true" outlineLevel="0" collapsed="false">
      <c r="A17" s="6" t="n">
        <v>16</v>
      </c>
      <c r="B17" s="7" t="s">
        <v>1524</v>
      </c>
      <c r="C17" s="6" t="s">
        <v>1525</v>
      </c>
      <c r="D17" s="6" t="s">
        <v>1526</v>
      </c>
      <c r="E17" s="6" t="s">
        <v>110</v>
      </c>
      <c r="F17" s="6" t="s">
        <v>110</v>
      </c>
      <c r="G17" s="6" t="s">
        <v>110</v>
      </c>
      <c r="H17" s="6" t="s">
        <v>110</v>
      </c>
      <c r="I17" s="7" t="s">
        <v>1527</v>
      </c>
      <c r="J17" s="29" t="n">
        <v>12</v>
      </c>
      <c r="K17" s="29" t="n">
        <v>16</v>
      </c>
      <c r="L17" s="29" t="n">
        <v>4.5</v>
      </c>
      <c r="M17" s="29" t="n">
        <v>6</v>
      </c>
      <c r="N17" s="29"/>
      <c r="O17" s="29"/>
    </row>
    <row r="18" customFormat="false" ht="15" hidden="false" customHeight="true" outlineLevel="0" collapsed="false">
      <c r="A18" s="4" t="n">
        <v>17</v>
      </c>
      <c r="B18" s="5" t="s">
        <v>594</v>
      </c>
      <c r="C18" s="4" t="s">
        <v>1528</v>
      </c>
      <c r="D18" s="4" t="s">
        <v>1503</v>
      </c>
      <c r="E18" s="4" t="s">
        <v>1509</v>
      </c>
      <c r="F18" s="4" t="s">
        <v>110</v>
      </c>
      <c r="G18" s="4" t="s">
        <v>110</v>
      </c>
      <c r="H18" s="4" t="s">
        <v>110</v>
      </c>
      <c r="I18" s="5" t="s">
        <v>1529</v>
      </c>
      <c r="J18" s="29" t="n">
        <v>10</v>
      </c>
      <c r="K18" s="29" t="n">
        <v>15</v>
      </c>
      <c r="L18" s="29" t="n">
        <v>3.5</v>
      </c>
      <c r="M18" s="29" t="n">
        <v>4.5</v>
      </c>
      <c r="N18" s="29" t="n">
        <v>0.2</v>
      </c>
      <c r="O18" s="29" t="n">
        <v>0.5</v>
      </c>
    </row>
  </sheetData>
  <autoFilter ref="A1:I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45"/>
    <col collapsed="false" customWidth="true" hidden="false" outlineLevel="0" max="6" min="6" style="1" width="30"/>
    <col collapsed="false" customWidth="true" hidden="false" outlineLevel="0" max="7" min="7" style="1" width="28"/>
    <col collapsed="false" customWidth="true" hidden="false" outlineLevel="0" max="8" min="8" style="1" width="25"/>
    <col collapsed="false" customWidth="true" hidden="false" outlineLevel="0" max="9" min="9" style="1" width="8"/>
    <col collapsed="false" customWidth="true" hidden="false" outlineLevel="0" max="12" min="10" style="1" width="25"/>
  </cols>
  <sheetData>
    <row r="1" customFormat="false" ht="26.25" hidden="false" customHeight="true" outlineLevel="0" collapsed="false">
      <c r="A1" s="2" t="s">
        <v>0</v>
      </c>
      <c r="B1" s="3" t="s">
        <v>1456</v>
      </c>
      <c r="C1" s="3" t="s">
        <v>1530</v>
      </c>
      <c r="D1" s="3" t="s">
        <v>1531</v>
      </c>
      <c r="E1" s="3" t="s">
        <v>1532</v>
      </c>
      <c r="F1" s="3" t="s">
        <v>1533</v>
      </c>
      <c r="G1" s="3" t="s">
        <v>1534</v>
      </c>
      <c r="H1" s="2" t="s">
        <v>1535</v>
      </c>
      <c r="I1" s="2" t="s">
        <v>1536</v>
      </c>
      <c r="J1" s="3" t="s">
        <v>1537</v>
      </c>
      <c r="K1" s="3" t="s">
        <v>1538</v>
      </c>
      <c r="L1" s="3" t="s">
        <v>1539</v>
      </c>
    </row>
    <row r="2" customFormat="false" ht="26.25" hidden="false" customHeight="true" outlineLevel="0" collapsed="false">
      <c r="A2" s="4" t="n">
        <v>1</v>
      </c>
      <c r="B2" s="25" t="s">
        <v>8</v>
      </c>
      <c r="C2" s="8" t="s">
        <v>1540</v>
      </c>
      <c r="D2" s="5" t="s">
        <v>1541</v>
      </c>
      <c r="E2" s="5" t="s">
        <v>1542</v>
      </c>
      <c r="F2" s="8" t="s">
        <v>1543</v>
      </c>
      <c r="G2" s="5" t="s">
        <v>1544</v>
      </c>
      <c r="H2" s="5" t="s">
        <v>1545</v>
      </c>
      <c r="I2" s="4" t="s">
        <v>1546</v>
      </c>
      <c r="J2" s="8" t="s">
        <v>110</v>
      </c>
      <c r="K2" s="5" t="s">
        <v>1547</v>
      </c>
      <c r="L2" s="5" t="s">
        <v>1548</v>
      </c>
    </row>
    <row r="3" customFormat="false" ht="26.25" hidden="false" customHeight="true" outlineLevel="0" collapsed="false">
      <c r="A3" s="6" t="n">
        <v>2</v>
      </c>
      <c r="B3" s="26" t="s">
        <v>8</v>
      </c>
      <c r="C3" s="9" t="s">
        <v>1540</v>
      </c>
      <c r="D3" s="7" t="s">
        <v>1549</v>
      </c>
      <c r="E3" s="7" t="s">
        <v>1550</v>
      </c>
      <c r="F3" s="9" t="s">
        <v>1551</v>
      </c>
      <c r="G3" s="7" t="s">
        <v>1552</v>
      </c>
      <c r="H3" s="7" t="s">
        <v>1553</v>
      </c>
      <c r="I3" s="6" t="s">
        <v>1546</v>
      </c>
      <c r="J3" s="9" t="s">
        <v>110</v>
      </c>
      <c r="K3" s="7" t="s">
        <v>1554</v>
      </c>
      <c r="L3" s="7" t="s">
        <v>1555</v>
      </c>
    </row>
    <row r="4" customFormat="false" ht="26.25" hidden="false" customHeight="true" outlineLevel="0" collapsed="false">
      <c r="A4" s="4" t="n">
        <v>3</v>
      </c>
      <c r="B4" s="25" t="s">
        <v>8</v>
      </c>
      <c r="C4" s="8" t="s">
        <v>1556</v>
      </c>
      <c r="D4" s="5" t="s">
        <v>1557</v>
      </c>
      <c r="E4" s="5" t="s">
        <v>1558</v>
      </c>
      <c r="F4" s="5" t="s">
        <v>1559</v>
      </c>
      <c r="G4" s="5" t="s">
        <v>1560</v>
      </c>
      <c r="H4" s="5" t="s">
        <v>1561</v>
      </c>
      <c r="I4" s="4" t="s">
        <v>1546</v>
      </c>
      <c r="J4" s="8" t="s">
        <v>110</v>
      </c>
      <c r="K4" s="5" t="s">
        <v>1562</v>
      </c>
      <c r="L4" s="5" t="s">
        <v>1563</v>
      </c>
    </row>
    <row r="5" customFormat="false" ht="39" hidden="false" customHeight="true" outlineLevel="0" collapsed="false">
      <c r="A5" s="6" t="n">
        <v>4</v>
      </c>
      <c r="B5" s="26" t="s">
        <v>8</v>
      </c>
      <c r="C5" s="9" t="s">
        <v>1564</v>
      </c>
      <c r="D5" s="9" t="s">
        <v>1565</v>
      </c>
      <c r="E5" s="7" t="s">
        <v>1566</v>
      </c>
      <c r="F5" s="7" t="s">
        <v>1567</v>
      </c>
      <c r="G5" s="7" t="s">
        <v>1568</v>
      </c>
      <c r="H5" s="7" t="s">
        <v>1569</v>
      </c>
      <c r="I5" s="6" t="s">
        <v>1546</v>
      </c>
      <c r="J5" s="9" t="s">
        <v>110</v>
      </c>
      <c r="K5" s="7" t="s">
        <v>1570</v>
      </c>
      <c r="L5" s="7" t="s">
        <v>1571</v>
      </c>
    </row>
    <row r="6" customFormat="false" ht="26.25" hidden="false" customHeight="true" outlineLevel="0" collapsed="false">
      <c r="A6" s="4" t="n">
        <v>5</v>
      </c>
      <c r="B6" s="25" t="s">
        <v>8</v>
      </c>
      <c r="C6" s="8" t="s">
        <v>1564</v>
      </c>
      <c r="D6" s="8" t="s">
        <v>1572</v>
      </c>
      <c r="E6" s="8" t="s">
        <v>1573</v>
      </c>
      <c r="F6" s="5" t="s">
        <v>1574</v>
      </c>
      <c r="G6" s="5" t="s">
        <v>1575</v>
      </c>
      <c r="H6" s="5" t="s">
        <v>1576</v>
      </c>
      <c r="I6" s="4" t="s">
        <v>1546</v>
      </c>
      <c r="J6" s="8" t="s">
        <v>110</v>
      </c>
      <c r="K6" s="5" t="s">
        <v>1577</v>
      </c>
      <c r="L6" s="5" t="s">
        <v>1578</v>
      </c>
    </row>
    <row r="7" customFormat="false" ht="39" hidden="false" customHeight="true" outlineLevel="0" collapsed="false">
      <c r="A7" s="6" t="n">
        <v>6</v>
      </c>
      <c r="B7" s="26" t="s">
        <v>8</v>
      </c>
      <c r="C7" s="9" t="s">
        <v>1579</v>
      </c>
      <c r="D7" s="7" t="s">
        <v>1580</v>
      </c>
      <c r="E7" s="9" t="s">
        <v>1581</v>
      </c>
      <c r="F7" s="7" t="s">
        <v>1582</v>
      </c>
      <c r="G7" s="7" t="s">
        <v>1583</v>
      </c>
      <c r="H7" s="7" t="s">
        <v>1584</v>
      </c>
      <c r="I7" s="6" t="s">
        <v>1546</v>
      </c>
      <c r="J7" s="9" t="s">
        <v>110</v>
      </c>
      <c r="K7" s="7" t="s">
        <v>1585</v>
      </c>
      <c r="L7" s="7" t="s">
        <v>1586</v>
      </c>
    </row>
    <row r="8" customFormat="false" ht="26.25" hidden="false" customHeight="true" outlineLevel="0" collapsed="false">
      <c r="A8" s="4" t="n">
        <v>7</v>
      </c>
      <c r="B8" s="25" t="s">
        <v>8</v>
      </c>
      <c r="C8" s="8" t="s">
        <v>1587</v>
      </c>
      <c r="D8" s="5" t="s">
        <v>1588</v>
      </c>
      <c r="E8" s="8" t="s">
        <v>1589</v>
      </c>
      <c r="F8" s="5" t="s">
        <v>1590</v>
      </c>
      <c r="G8" s="5" t="s">
        <v>1591</v>
      </c>
      <c r="H8" s="5" t="s">
        <v>1592</v>
      </c>
      <c r="I8" s="4" t="s">
        <v>1546</v>
      </c>
      <c r="J8" s="8" t="s">
        <v>110</v>
      </c>
      <c r="K8" s="5" t="s">
        <v>1593</v>
      </c>
      <c r="L8" s="5" t="s">
        <v>1594</v>
      </c>
    </row>
    <row r="9" customFormat="false" ht="26.25" hidden="false" customHeight="true" outlineLevel="0" collapsed="false">
      <c r="A9" s="6" t="n">
        <v>8</v>
      </c>
      <c r="B9" s="26" t="s">
        <v>8</v>
      </c>
      <c r="C9" s="9" t="s">
        <v>1595</v>
      </c>
      <c r="D9" s="7" t="s">
        <v>1596</v>
      </c>
      <c r="E9" s="7" t="s">
        <v>1597</v>
      </c>
      <c r="F9" s="9" t="s">
        <v>1598</v>
      </c>
      <c r="G9" s="7" t="s">
        <v>1599</v>
      </c>
      <c r="H9" s="7" t="s">
        <v>1600</v>
      </c>
      <c r="I9" s="6" t="s">
        <v>1546</v>
      </c>
      <c r="J9" s="9" t="s">
        <v>110</v>
      </c>
      <c r="K9" s="7" t="s">
        <v>1601</v>
      </c>
      <c r="L9" s="7" t="s">
        <v>1602</v>
      </c>
    </row>
    <row r="10" customFormat="false" ht="26.25" hidden="false" customHeight="true" outlineLevel="0" collapsed="false">
      <c r="A10" s="30" t="n">
        <v>9</v>
      </c>
      <c r="B10" s="31" t="s">
        <v>8</v>
      </c>
      <c r="C10" s="32" t="s">
        <v>1603</v>
      </c>
      <c r="D10" s="32" t="s">
        <v>1604</v>
      </c>
      <c r="E10" s="33" t="s">
        <v>1605</v>
      </c>
      <c r="F10" s="32" t="s">
        <v>1606</v>
      </c>
      <c r="G10" s="33" t="s">
        <v>1607</v>
      </c>
      <c r="H10" s="33" t="s">
        <v>1608</v>
      </c>
      <c r="I10" s="30" t="s">
        <v>1609</v>
      </c>
      <c r="J10" s="33" t="s">
        <v>1610</v>
      </c>
      <c r="K10" s="33" t="s">
        <v>1611</v>
      </c>
      <c r="L10" s="33" t="s">
        <v>1612</v>
      </c>
    </row>
    <row r="11" customFormat="false" ht="26.25" hidden="false" customHeight="true" outlineLevel="0" collapsed="false">
      <c r="A11" s="6" t="n">
        <v>10</v>
      </c>
      <c r="B11" s="26" t="s">
        <v>8</v>
      </c>
      <c r="C11" s="9" t="s">
        <v>1613</v>
      </c>
      <c r="D11" s="7" t="s">
        <v>1614</v>
      </c>
      <c r="E11" s="7" t="s">
        <v>1615</v>
      </c>
      <c r="F11" s="7" t="s">
        <v>1616</v>
      </c>
      <c r="G11" s="7" t="s">
        <v>1617</v>
      </c>
      <c r="H11" s="7" t="s">
        <v>1618</v>
      </c>
      <c r="I11" s="6" t="s">
        <v>1546</v>
      </c>
      <c r="J11" s="9" t="s">
        <v>110</v>
      </c>
      <c r="K11" s="7" t="s">
        <v>1619</v>
      </c>
      <c r="L11" s="7" t="s">
        <v>1620</v>
      </c>
    </row>
    <row r="12" customFormat="false" ht="51.75" hidden="false" customHeight="true" outlineLevel="0" collapsed="false">
      <c r="A12" s="30" t="n">
        <v>11</v>
      </c>
      <c r="B12" s="31" t="s">
        <v>8</v>
      </c>
      <c r="C12" s="32" t="s">
        <v>1621</v>
      </c>
      <c r="D12" s="33" t="s">
        <v>1622</v>
      </c>
      <c r="E12" s="32" t="s">
        <v>1623</v>
      </c>
      <c r="F12" s="33" t="s">
        <v>1624</v>
      </c>
      <c r="G12" s="33" t="s">
        <v>1625</v>
      </c>
      <c r="H12" s="33" t="s">
        <v>1626</v>
      </c>
      <c r="I12" s="30" t="s">
        <v>1627</v>
      </c>
      <c r="J12" s="33" t="s">
        <v>1628</v>
      </c>
      <c r="K12" s="33" t="s">
        <v>1629</v>
      </c>
      <c r="L12" s="33" t="s">
        <v>1630</v>
      </c>
    </row>
    <row r="13" customFormat="false" ht="26.25" hidden="false" customHeight="true" outlineLevel="0" collapsed="false">
      <c r="A13" s="6" t="n">
        <v>12</v>
      </c>
      <c r="B13" s="26" t="s">
        <v>8</v>
      </c>
      <c r="C13" s="9" t="s">
        <v>1631</v>
      </c>
      <c r="D13" s="7" t="s">
        <v>1632</v>
      </c>
      <c r="E13" s="9" t="s">
        <v>1633</v>
      </c>
      <c r="F13" s="7" t="s">
        <v>1634</v>
      </c>
      <c r="G13" s="7" t="s">
        <v>1635</v>
      </c>
      <c r="H13" s="7" t="s">
        <v>1636</v>
      </c>
      <c r="I13" s="6" t="s">
        <v>1546</v>
      </c>
      <c r="J13" s="9" t="s">
        <v>110</v>
      </c>
      <c r="K13" s="7" t="s">
        <v>1637</v>
      </c>
      <c r="L13" s="7" t="s">
        <v>1638</v>
      </c>
    </row>
    <row r="14" customFormat="false" ht="39" hidden="false" customHeight="true" outlineLevel="0" collapsed="false">
      <c r="A14" s="30" t="n">
        <v>13</v>
      </c>
      <c r="B14" s="31" t="s">
        <v>8</v>
      </c>
      <c r="C14" s="32" t="s">
        <v>1639</v>
      </c>
      <c r="D14" s="33" t="s">
        <v>1640</v>
      </c>
      <c r="E14" s="33" t="s">
        <v>1641</v>
      </c>
      <c r="F14" s="33" t="s">
        <v>1642</v>
      </c>
      <c r="G14" s="33" t="s">
        <v>1643</v>
      </c>
      <c r="H14" s="33" t="s">
        <v>1644</v>
      </c>
      <c r="I14" s="30" t="s">
        <v>1645</v>
      </c>
      <c r="J14" s="33" t="s">
        <v>1646</v>
      </c>
      <c r="K14" s="33" t="s">
        <v>1647</v>
      </c>
      <c r="L14" s="33" t="s">
        <v>1648</v>
      </c>
    </row>
    <row r="15" customFormat="false" ht="26.25" hidden="false" customHeight="true" outlineLevel="0" collapsed="false">
      <c r="A15" s="6" t="n">
        <v>14</v>
      </c>
      <c r="B15" s="26" t="s">
        <v>8</v>
      </c>
      <c r="C15" s="9" t="s">
        <v>1649</v>
      </c>
      <c r="D15" s="7" t="s">
        <v>1650</v>
      </c>
      <c r="E15" s="7" t="s">
        <v>1651</v>
      </c>
      <c r="F15" s="7" t="s">
        <v>1652</v>
      </c>
      <c r="G15" s="7" t="s">
        <v>1653</v>
      </c>
      <c r="H15" s="7" t="s">
        <v>1654</v>
      </c>
      <c r="I15" s="6" t="s">
        <v>1546</v>
      </c>
      <c r="J15" s="9" t="s">
        <v>110</v>
      </c>
      <c r="K15" s="7" t="s">
        <v>1655</v>
      </c>
      <c r="L15" s="7" t="s">
        <v>1656</v>
      </c>
    </row>
    <row r="16" customFormat="false" ht="26.25" hidden="false" customHeight="true" outlineLevel="0" collapsed="false">
      <c r="A16" s="4" t="n">
        <v>15</v>
      </c>
      <c r="B16" s="25" t="s">
        <v>17</v>
      </c>
      <c r="C16" s="8" t="s">
        <v>1540</v>
      </c>
      <c r="D16" s="5" t="s">
        <v>1541</v>
      </c>
      <c r="E16" s="5" t="s">
        <v>1657</v>
      </c>
      <c r="F16" s="5" t="s">
        <v>1658</v>
      </c>
      <c r="G16" s="5" t="s">
        <v>1659</v>
      </c>
      <c r="H16" s="5" t="s">
        <v>1660</v>
      </c>
      <c r="I16" s="4" t="s">
        <v>1546</v>
      </c>
      <c r="J16" s="8" t="s">
        <v>110</v>
      </c>
      <c r="K16" s="5" t="s">
        <v>1661</v>
      </c>
      <c r="L16" s="5" t="s">
        <v>1662</v>
      </c>
    </row>
    <row r="17" customFormat="false" ht="26.25" hidden="false" customHeight="true" outlineLevel="0" collapsed="false">
      <c r="A17" s="6" t="n">
        <v>16</v>
      </c>
      <c r="B17" s="26" t="s">
        <v>17</v>
      </c>
      <c r="C17" s="9" t="s">
        <v>1663</v>
      </c>
      <c r="D17" s="7" t="s">
        <v>1664</v>
      </c>
      <c r="E17" s="7" t="s">
        <v>1665</v>
      </c>
      <c r="F17" s="7" t="s">
        <v>1666</v>
      </c>
      <c r="G17" s="7" t="s">
        <v>1667</v>
      </c>
      <c r="H17" s="7" t="s">
        <v>1668</v>
      </c>
      <c r="I17" s="6" t="s">
        <v>1546</v>
      </c>
      <c r="J17" s="9" t="s">
        <v>110</v>
      </c>
      <c r="K17" s="7" t="s">
        <v>1669</v>
      </c>
      <c r="L17" s="7" t="s">
        <v>1670</v>
      </c>
    </row>
    <row r="18" customFormat="false" ht="15" hidden="false" customHeight="true" outlineLevel="0" collapsed="false">
      <c r="A18" s="4" t="n">
        <v>17</v>
      </c>
      <c r="B18" s="25" t="s">
        <v>17</v>
      </c>
      <c r="C18" s="8" t="s">
        <v>1671</v>
      </c>
      <c r="D18" s="5" t="s">
        <v>1672</v>
      </c>
      <c r="E18" s="5" t="s">
        <v>1673</v>
      </c>
      <c r="F18" s="8" t="s">
        <v>1674</v>
      </c>
      <c r="G18" s="5" t="s">
        <v>1675</v>
      </c>
      <c r="H18" s="5" t="s">
        <v>1676</v>
      </c>
      <c r="I18" s="4" t="s">
        <v>1546</v>
      </c>
      <c r="J18" s="8" t="s">
        <v>110</v>
      </c>
      <c r="K18" s="5" t="s">
        <v>1677</v>
      </c>
      <c r="L18" s="5" t="s">
        <v>1678</v>
      </c>
    </row>
    <row r="19" customFormat="false" ht="26.25" hidden="false" customHeight="true" outlineLevel="0" collapsed="false">
      <c r="A19" s="30" t="n">
        <v>18</v>
      </c>
      <c r="B19" s="31" t="s">
        <v>17</v>
      </c>
      <c r="C19" s="32" t="s">
        <v>1679</v>
      </c>
      <c r="D19" s="33" t="s">
        <v>1680</v>
      </c>
      <c r="E19" s="33" t="s">
        <v>1681</v>
      </c>
      <c r="F19" s="32" t="s">
        <v>1682</v>
      </c>
      <c r="G19" s="33" t="s">
        <v>1683</v>
      </c>
      <c r="H19" s="33" t="s">
        <v>1684</v>
      </c>
      <c r="I19" s="30" t="s">
        <v>1609</v>
      </c>
      <c r="J19" s="33" t="s">
        <v>1685</v>
      </c>
      <c r="K19" s="33" t="s">
        <v>1686</v>
      </c>
      <c r="L19" s="33" t="s">
        <v>1687</v>
      </c>
    </row>
    <row r="20" customFormat="false" ht="26.25" hidden="false" customHeight="true" outlineLevel="0" collapsed="false">
      <c r="A20" s="4" t="n">
        <v>19</v>
      </c>
      <c r="B20" s="25" t="s">
        <v>17</v>
      </c>
      <c r="C20" s="8" t="s">
        <v>1688</v>
      </c>
      <c r="D20" s="5" t="s">
        <v>1689</v>
      </c>
      <c r="E20" s="8" t="s">
        <v>1690</v>
      </c>
      <c r="F20" s="5" t="s">
        <v>1691</v>
      </c>
      <c r="G20" s="8" t="s">
        <v>1692</v>
      </c>
      <c r="H20" s="5" t="s">
        <v>1693</v>
      </c>
      <c r="I20" s="4" t="s">
        <v>1546</v>
      </c>
      <c r="J20" s="8" t="s">
        <v>110</v>
      </c>
      <c r="K20" s="8" t="s">
        <v>1694</v>
      </c>
      <c r="L20" s="5" t="s">
        <v>1695</v>
      </c>
    </row>
    <row r="21" customFormat="false" ht="26.25" hidden="false" customHeight="true" outlineLevel="0" collapsed="false">
      <c r="A21" s="6" t="n">
        <v>20</v>
      </c>
      <c r="B21" s="26" t="s">
        <v>17</v>
      </c>
      <c r="C21" s="9" t="s">
        <v>1696</v>
      </c>
      <c r="D21" s="7" t="s">
        <v>1697</v>
      </c>
      <c r="E21" s="7" t="s">
        <v>1698</v>
      </c>
      <c r="F21" s="7" t="s">
        <v>1699</v>
      </c>
      <c r="G21" s="7" t="s">
        <v>1700</v>
      </c>
      <c r="H21" s="7" t="s">
        <v>1701</v>
      </c>
      <c r="I21" s="6" t="s">
        <v>1546</v>
      </c>
      <c r="J21" s="9" t="s">
        <v>110</v>
      </c>
      <c r="K21" s="7" t="s">
        <v>1702</v>
      </c>
      <c r="L21" s="7" t="s">
        <v>1703</v>
      </c>
    </row>
    <row r="22" customFormat="false" ht="26.25" hidden="false" customHeight="true" outlineLevel="0" collapsed="false">
      <c r="A22" s="4" t="n">
        <v>21</v>
      </c>
      <c r="B22" s="25" t="s">
        <v>17</v>
      </c>
      <c r="C22" s="8" t="s">
        <v>1704</v>
      </c>
      <c r="D22" s="8" t="s">
        <v>1705</v>
      </c>
      <c r="E22" s="5" t="s">
        <v>1706</v>
      </c>
      <c r="F22" s="5" t="s">
        <v>1707</v>
      </c>
      <c r="G22" s="8" t="s">
        <v>1708</v>
      </c>
      <c r="H22" s="5" t="s">
        <v>1709</v>
      </c>
      <c r="I22" s="4" t="s">
        <v>1546</v>
      </c>
      <c r="J22" s="8" t="s">
        <v>110</v>
      </c>
      <c r="K22" s="8" t="s">
        <v>1710</v>
      </c>
      <c r="L22" s="8" t="s">
        <v>1711</v>
      </c>
    </row>
    <row r="23" customFormat="false" ht="26.25" hidden="false" customHeight="true" outlineLevel="0" collapsed="false">
      <c r="A23" s="30" t="n">
        <v>22</v>
      </c>
      <c r="B23" s="31" t="s">
        <v>17</v>
      </c>
      <c r="C23" s="32" t="s">
        <v>1712</v>
      </c>
      <c r="D23" s="33" t="s">
        <v>1713</v>
      </c>
      <c r="E23" s="33" t="s">
        <v>1714</v>
      </c>
      <c r="F23" s="33" t="s">
        <v>1715</v>
      </c>
      <c r="G23" s="33" t="s">
        <v>1716</v>
      </c>
      <c r="H23" s="33" t="s">
        <v>1717</v>
      </c>
      <c r="I23" s="30" t="s">
        <v>1627</v>
      </c>
      <c r="J23" s="33" t="s">
        <v>1718</v>
      </c>
      <c r="K23" s="33" t="s">
        <v>1719</v>
      </c>
      <c r="L23" s="33" t="s">
        <v>1720</v>
      </c>
    </row>
    <row r="24" customFormat="false" ht="26.25" hidden="false" customHeight="true" outlineLevel="0" collapsed="false">
      <c r="A24" s="4" t="n">
        <v>23</v>
      </c>
      <c r="B24" s="25" t="s">
        <v>17</v>
      </c>
      <c r="C24" s="8" t="s">
        <v>1721</v>
      </c>
      <c r="D24" s="5" t="s">
        <v>1722</v>
      </c>
      <c r="E24" s="5" t="s">
        <v>1723</v>
      </c>
      <c r="F24" s="5" t="s">
        <v>1724</v>
      </c>
      <c r="G24" s="5" t="s">
        <v>1725</v>
      </c>
      <c r="H24" s="8" t="s">
        <v>1726</v>
      </c>
      <c r="I24" s="4" t="s">
        <v>1546</v>
      </c>
      <c r="J24" s="8" t="s">
        <v>110</v>
      </c>
      <c r="K24" s="8" t="s">
        <v>110</v>
      </c>
      <c r="L24" s="8" t="s">
        <v>110</v>
      </c>
    </row>
    <row r="25" customFormat="false" ht="15" hidden="false" customHeight="true" outlineLevel="0" collapsed="false">
      <c r="A25" s="30" t="n">
        <v>24</v>
      </c>
      <c r="B25" s="31" t="s">
        <v>17</v>
      </c>
      <c r="C25" s="32" t="s">
        <v>1727</v>
      </c>
      <c r="D25" s="33" t="s">
        <v>1640</v>
      </c>
      <c r="E25" s="33" t="s">
        <v>1728</v>
      </c>
      <c r="F25" s="32" t="s">
        <v>1729</v>
      </c>
      <c r="G25" s="33" t="s">
        <v>1730</v>
      </c>
      <c r="H25" s="33" t="s">
        <v>1731</v>
      </c>
      <c r="I25" s="30" t="s">
        <v>1645</v>
      </c>
      <c r="J25" s="32" t="s">
        <v>1732</v>
      </c>
      <c r="K25" s="33" t="s">
        <v>1733</v>
      </c>
      <c r="L25" s="33" t="s">
        <v>1734</v>
      </c>
    </row>
    <row r="26" customFormat="false" ht="26.25" hidden="false" customHeight="true" outlineLevel="0" collapsed="false">
      <c r="A26" s="4" t="n">
        <v>25</v>
      </c>
      <c r="B26" s="25" t="s">
        <v>34</v>
      </c>
      <c r="C26" s="8" t="s">
        <v>1735</v>
      </c>
      <c r="D26" s="5" t="s">
        <v>1736</v>
      </c>
      <c r="E26" s="5" t="s">
        <v>1737</v>
      </c>
      <c r="F26" s="5" t="s">
        <v>1738</v>
      </c>
      <c r="G26" s="5" t="s">
        <v>1739</v>
      </c>
      <c r="H26" s="5" t="s">
        <v>1740</v>
      </c>
      <c r="I26" s="4" t="s">
        <v>1546</v>
      </c>
      <c r="J26" s="8" t="s">
        <v>110</v>
      </c>
      <c r="K26" s="5" t="s">
        <v>1741</v>
      </c>
      <c r="L26" s="5" t="s">
        <v>1742</v>
      </c>
    </row>
    <row r="27" customFormat="false" ht="26.25" hidden="false" customHeight="true" outlineLevel="0" collapsed="false">
      <c r="A27" s="6" t="n">
        <v>26</v>
      </c>
      <c r="B27" s="26" t="s">
        <v>34</v>
      </c>
      <c r="C27" s="9" t="s">
        <v>1743</v>
      </c>
      <c r="D27" s="7" t="s">
        <v>1744</v>
      </c>
      <c r="E27" s="7" t="s">
        <v>1745</v>
      </c>
      <c r="F27" s="7" t="s">
        <v>1746</v>
      </c>
      <c r="G27" s="7" t="s">
        <v>1747</v>
      </c>
      <c r="H27" s="7" t="s">
        <v>1748</v>
      </c>
      <c r="I27" s="6" t="s">
        <v>1546</v>
      </c>
      <c r="J27" s="9" t="s">
        <v>110</v>
      </c>
      <c r="K27" s="7" t="s">
        <v>1749</v>
      </c>
      <c r="L27" s="7" t="s">
        <v>1750</v>
      </c>
    </row>
    <row r="28" customFormat="false" ht="26.25" hidden="false" customHeight="true" outlineLevel="0" collapsed="false">
      <c r="A28" s="4" t="n">
        <v>27</v>
      </c>
      <c r="B28" s="25" t="s">
        <v>34</v>
      </c>
      <c r="C28" s="8" t="s">
        <v>1751</v>
      </c>
      <c r="D28" s="5" t="s">
        <v>1752</v>
      </c>
      <c r="E28" s="5" t="s">
        <v>1753</v>
      </c>
      <c r="F28" s="5" t="s">
        <v>1754</v>
      </c>
      <c r="G28" s="5" t="s">
        <v>1755</v>
      </c>
      <c r="H28" s="5" t="s">
        <v>1756</v>
      </c>
      <c r="I28" s="4" t="s">
        <v>1546</v>
      </c>
      <c r="J28" s="8" t="s">
        <v>110</v>
      </c>
      <c r="K28" s="5" t="s">
        <v>1757</v>
      </c>
      <c r="L28" s="5" t="s">
        <v>1758</v>
      </c>
    </row>
    <row r="29" customFormat="false" ht="39" hidden="false" customHeight="true" outlineLevel="0" collapsed="false">
      <c r="A29" s="6" t="n">
        <v>28</v>
      </c>
      <c r="B29" s="26" t="s">
        <v>34</v>
      </c>
      <c r="C29" s="9" t="s">
        <v>1759</v>
      </c>
      <c r="D29" s="7" t="s">
        <v>1760</v>
      </c>
      <c r="E29" s="9" t="s">
        <v>1761</v>
      </c>
      <c r="F29" s="7" t="s">
        <v>1762</v>
      </c>
      <c r="G29" s="7" t="s">
        <v>1763</v>
      </c>
      <c r="H29" s="7" t="s">
        <v>1764</v>
      </c>
      <c r="I29" s="6" t="s">
        <v>1546</v>
      </c>
      <c r="J29" s="9" t="s">
        <v>110</v>
      </c>
      <c r="K29" s="7" t="s">
        <v>1765</v>
      </c>
      <c r="L29" s="7" t="s">
        <v>1766</v>
      </c>
    </row>
    <row r="30" customFormat="false" ht="26.25" hidden="false" customHeight="true" outlineLevel="0" collapsed="false">
      <c r="A30" s="4" t="n">
        <v>29</v>
      </c>
      <c r="B30" s="25" t="s">
        <v>34</v>
      </c>
      <c r="C30" s="8" t="s">
        <v>1767</v>
      </c>
      <c r="D30" s="5" t="s">
        <v>1768</v>
      </c>
      <c r="E30" s="5" t="s">
        <v>1769</v>
      </c>
      <c r="F30" s="5" t="s">
        <v>1770</v>
      </c>
      <c r="G30" s="5" t="s">
        <v>1771</v>
      </c>
      <c r="H30" s="5" t="s">
        <v>1569</v>
      </c>
      <c r="I30" s="4" t="s">
        <v>1546</v>
      </c>
      <c r="J30" s="8" t="s">
        <v>110</v>
      </c>
      <c r="K30" s="5" t="s">
        <v>1772</v>
      </c>
      <c r="L30" s="5" t="s">
        <v>1773</v>
      </c>
    </row>
    <row r="31" customFormat="false" ht="26.25" hidden="false" customHeight="true" outlineLevel="0" collapsed="false">
      <c r="A31" s="6" t="n">
        <v>30</v>
      </c>
      <c r="B31" s="26" t="s">
        <v>34</v>
      </c>
      <c r="C31" s="9" t="s">
        <v>1595</v>
      </c>
      <c r="D31" s="7" t="s">
        <v>1774</v>
      </c>
      <c r="E31" s="7" t="s">
        <v>1775</v>
      </c>
      <c r="F31" s="9" t="s">
        <v>1776</v>
      </c>
      <c r="G31" s="7" t="s">
        <v>1777</v>
      </c>
      <c r="H31" s="7" t="s">
        <v>1778</v>
      </c>
      <c r="I31" s="6" t="s">
        <v>1546</v>
      </c>
      <c r="J31" s="9" t="s">
        <v>110</v>
      </c>
      <c r="K31" s="7" t="s">
        <v>1779</v>
      </c>
      <c r="L31" s="7" t="s">
        <v>1780</v>
      </c>
    </row>
    <row r="32" customFormat="false" ht="26.25" hidden="false" customHeight="true" outlineLevel="0" collapsed="false">
      <c r="A32" s="30" t="n">
        <v>31</v>
      </c>
      <c r="B32" s="31" t="s">
        <v>34</v>
      </c>
      <c r="C32" s="32" t="s">
        <v>1603</v>
      </c>
      <c r="D32" s="32" t="s">
        <v>1781</v>
      </c>
      <c r="E32" s="33" t="s">
        <v>1782</v>
      </c>
      <c r="F32" s="32" t="s">
        <v>1783</v>
      </c>
      <c r="G32" s="33" t="s">
        <v>1784</v>
      </c>
      <c r="H32" s="33" t="s">
        <v>1785</v>
      </c>
      <c r="I32" s="30" t="s">
        <v>1609</v>
      </c>
      <c r="J32" s="32" t="s">
        <v>1786</v>
      </c>
      <c r="K32" s="33" t="s">
        <v>1787</v>
      </c>
      <c r="L32" s="33" t="s">
        <v>1788</v>
      </c>
    </row>
    <row r="33" customFormat="false" ht="26.25" hidden="false" customHeight="true" outlineLevel="0" collapsed="false">
      <c r="A33" s="30" t="n">
        <v>32</v>
      </c>
      <c r="B33" s="31" t="s">
        <v>34</v>
      </c>
      <c r="C33" s="32" t="s">
        <v>1789</v>
      </c>
      <c r="D33" s="33" t="s">
        <v>1790</v>
      </c>
      <c r="E33" s="32" t="s">
        <v>1791</v>
      </c>
      <c r="F33" s="33" t="s">
        <v>1792</v>
      </c>
      <c r="G33" s="33" t="s">
        <v>1793</v>
      </c>
      <c r="H33" s="33" t="s">
        <v>1794</v>
      </c>
      <c r="I33" s="30" t="s">
        <v>1627</v>
      </c>
      <c r="J33" s="33" t="s">
        <v>1795</v>
      </c>
      <c r="K33" s="33" t="s">
        <v>1796</v>
      </c>
      <c r="L33" s="33" t="s">
        <v>1797</v>
      </c>
    </row>
    <row r="34" customFormat="false" ht="15" hidden="false" customHeight="true" outlineLevel="0" collapsed="false">
      <c r="A34" s="30" t="n">
        <v>33</v>
      </c>
      <c r="B34" s="31" t="s">
        <v>34</v>
      </c>
      <c r="C34" s="32" t="s">
        <v>1798</v>
      </c>
      <c r="D34" s="33" t="s">
        <v>1640</v>
      </c>
      <c r="E34" s="33" t="s">
        <v>1799</v>
      </c>
      <c r="F34" s="33" t="s">
        <v>1800</v>
      </c>
      <c r="G34" s="33" t="s">
        <v>1801</v>
      </c>
      <c r="H34" s="33" t="s">
        <v>1731</v>
      </c>
      <c r="I34" s="30" t="s">
        <v>1645</v>
      </c>
      <c r="J34" s="32" t="s">
        <v>1802</v>
      </c>
      <c r="K34" s="32" t="s">
        <v>1803</v>
      </c>
      <c r="L34" s="33" t="s">
        <v>1804</v>
      </c>
    </row>
    <row r="35" customFormat="false" ht="26.25" hidden="false" customHeight="true" outlineLevel="0" collapsed="false">
      <c r="A35" s="6" t="n">
        <v>34</v>
      </c>
      <c r="B35" s="26" t="s">
        <v>25</v>
      </c>
      <c r="C35" s="9" t="s">
        <v>1540</v>
      </c>
      <c r="D35" s="7" t="s">
        <v>1805</v>
      </c>
      <c r="E35" s="7" t="s">
        <v>1806</v>
      </c>
      <c r="F35" s="7" t="s">
        <v>1807</v>
      </c>
      <c r="G35" s="7" t="s">
        <v>1808</v>
      </c>
      <c r="H35" s="7" t="s">
        <v>1809</v>
      </c>
      <c r="I35" s="6" t="s">
        <v>1546</v>
      </c>
      <c r="J35" s="9" t="s">
        <v>110</v>
      </c>
      <c r="K35" s="7" t="s">
        <v>1810</v>
      </c>
      <c r="L35" s="7" t="s">
        <v>1742</v>
      </c>
    </row>
    <row r="36" customFormat="false" ht="26.25" hidden="false" customHeight="true" outlineLevel="0" collapsed="false">
      <c r="A36" s="4" t="n">
        <v>35</v>
      </c>
      <c r="B36" s="25" t="s">
        <v>25</v>
      </c>
      <c r="C36" s="8" t="s">
        <v>1811</v>
      </c>
      <c r="D36" s="5" t="s">
        <v>1812</v>
      </c>
      <c r="E36" s="5" t="s">
        <v>1813</v>
      </c>
      <c r="F36" s="5" t="s">
        <v>1814</v>
      </c>
      <c r="G36" s="5" t="s">
        <v>1815</v>
      </c>
      <c r="H36" s="5" t="s">
        <v>1816</v>
      </c>
      <c r="I36" s="4" t="s">
        <v>1546</v>
      </c>
      <c r="J36" s="8" t="s">
        <v>110</v>
      </c>
      <c r="K36" s="5" t="s">
        <v>1817</v>
      </c>
      <c r="L36" s="5" t="s">
        <v>1818</v>
      </c>
    </row>
    <row r="37" customFormat="false" ht="15" hidden="false" customHeight="true" outlineLevel="0" collapsed="false">
      <c r="A37" s="30" t="n">
        <v>36</v>
      </c>
      <c r="B37" s="31" t="s">
        <v>25</v>
      </c>
      <c r="C37" s="32" t="s">
        <v>1819</v>
      </c>
      <c r="D37" s="33" t="s">
        <v>1820</v>
      </c>
      <c r="E37" s="32" t="s">
        <v>1821</v>
      </c>
      <c r="F37" s="32" t="s">
        <v>1822</v>
      </c>
      <c r="G37" s="33" t="s">
        <v>1823</v>
      </c>
      <c r="H37" s="33" t="s">
        <v>1824</v>
      </c>
      <c r="I37" s="30" t="s">
        <v>1609</v>
      </c>
      <c r="J37" s="33" t="s">
        <v>1825</v>
      </c>
      <c r="K37" s="33" t="s">
        <v>1683</v>
      </c>
      <c r="L37" s="33" t="s">
        <v>1826</v>
      </c>
    </row>
    <row r="38" customFormat="false" ht="26.25" hidden="false" customHeight="true" outlineLevel="0" collapsed="false">
      <c r="A38" s="4" t="n">
        <v>37</v>
      </c>
      <c r="B38" s="25" t="s">
        <v>25</v>
      </c>
      <c r="C38" s="8" t="s">
        <v>1827</v>
      </c>
      <c r="D38" s="5" t="s">
        <v>1828</v>
      </c>
      <c r="E38" s="5" t="s">
        <v>1829</v>
      </c>
      <c r="F38" s="5" t="s">
        <v>1830</v>
      </c>
      <c r="G38" s="8" t="s">
        <v>1831</v>
      </c>
      <c r="H38" s="5" t="s">
        <v>1832</v>
      </c>
      <c r="I38" s="4" t="s">
        <v>1546</v>
      </c>
      <c r="J38" s="8" t="s">
        <v>110</v>
      </c>
      <c r="K38" s="5" t="s">
        <v>1833</v>
      </c>
      <c r="L38" s="5" t="s">
        <v>1834</v>
      </c>
    </row>
    <row r="39" customFormat="false" ht="26.25" hidden="false" customHeight="true" outlineLevel="0" collapsed="false">
      <c r="A39" s="6" t="n">
        <v>38</v>
      </c>
      <c r="B39" s="26" t="s">
        <v>25</v>
      </c>
      <c r="C39" s="9" t="s">
        <v>1835</v>
      </c>
      <c r="D39" s="7" t="s">
        <v>1836</v>
      </c>
      <c r="E39" s="7" t="s">
        <v>1837</v>
      </c>
      <c r="F39" s="9" t="s">
        <v>1838</v>
      </c>
      <c r="G39" s="9" t="s">
        <v>1839</v>
      </c>
      <c r="H39" s="7" t="s">
        <v>1840</v>
      </c>
      <c r="I39" s="6" t="s">
        <v>1546</v>
      </c>
      <c r="J39" s="9" t="s">
        <v>110</v>
      </c>
      <c r="K39" s="7" t="s">
        <v>1841</v>
      </c>
      <c r="L39" s="7" t="s">
        <v>1842</v>
      </c>
    </row>
    <row r="40" customFormat="false" ht="26.25" hidden="false" customHeight="true" outlineLevel="0" collapsed="false">
      <c r="A40" s="4" t="n">
        <v>39</v>
      </c>
      <c r="B40" s="25" t="s">
        <v>25</v>
      </c>
      <c r="C40" s="8" t="s">
        <v>1843</v>
      </c>
      <c r="D40" s="8" t="s">
        <v>1844</v>
      </c>
      <c r="E40" s="5" t="s">
        <v>1845</v>
      </c>
      <c r="F40" s="5" t="s">
        <v>1846</v>
      </c>
      <c r="G40" s="5" t="s">
        <v>1847</v>
      </c>
      <c r="H40" s="5" t="s">
        <v>1848</v>
      </c>
      <c r="I40" s="4" t="s">
        <v>1546</v>
      </c>
      <c r="J40" s="8" t="s">
        <v>110</v>
      </c>
      <c r="K40" s="5" t="s">
        <v>1849</v>
      </c>
      <c r="L40" s="5" t="s">
        <v>1850</v>
      </c>
    </row>
    <row r="41" customFormat="false" ht="15" hidden="false" customHeight="true" outlineLevel="0" collapsed="false">
      <c r="A41" s="6" t="n">
        <v>40</v>
      </c>
      <c r="B41" s="26" t="s">
        <v>25</v>
      </c>
      <c r="C41" s="9" t="s">
        <v>1851</v>
      </c>
      <c r="D41" s="7" t="s">
        <v>1852</v>
      </c>
      <c r="E41" s="9" t="s">
        <v>1853</v>
      </c>
      <c r="F41" s="9" t="s">
        <v>1854</v>
      </c>
      <c r="G41" s="7" t="s">
        <v>1855</v>
      </c>
      <c r="H41" s="7" t="s">
        <v>1856</v>
      </c>
      <c r="I41" s="6" t="s">
        <v>1546</v>
      </c>
      <c r="J41" s="9" t="s">
        <v>110</v>
      </c>
      <c r="K41" s="7" t="s">
        <v>1857</v>
      </c>
      <c r="L41" s="7" t="s">
        <v>1780</v>
      </c>
    </row>
    <row r="42" customFormat="false" ht="26.25" hidden="false" customHeight="true" outlineLevel="0" collapsed="false">
      <c r="A42" s="30" t="n">
        <v>41</v>
      </c>
      <c r="B42" s="31" t="s">
        <v>25</v>
      </c>
      <c r="C42" s="32" t="s">
        <v>1858</v>
      </c>
      <c r="D42" s="33" t="s">
        <v>1859</v>
      </c>
      <c r="E42" s="33" t="s">
        <v>1860</v>
      </c>
      <c r="F42" s="33" t="s">
        <v>1861</v>
      </c>
      <c r="G42" s="33" t="s">
        <v>1862</v>
      </c>
      <c r="H42" s="33" t="s">
        <v>1863</v>
      </c>
      <c r="I42" s="30" t="s">
        <v>1627</v>
      </c>
      <c r="J42" s="33" t="s">
        <v>1864</v>
      </c>
      <c r="K42" s="33" t="s">
        <v>1865</v>
      </c>
      <c r="L42" s="33" t="s">
        <v>1866</v>
      </c>
    </row>
    <row r="43" customFormat="false" ht="26.25" hidden="false" customHeight="true" outlineLevel="0" collapsed="false">
      <c r="A43" s="30" t="n">
        <v>42</v>
      </c>
      <c r="B43" s="31" t="s">
        <v>25</v>
      </c>
      <c r="C43" s="32" t="s">
        <v>1867</v>
      </c>
      <c r="D43" s="33" t="s">
        <v>1868</v>
      </c>
      <c r="E43" s="33" t="s">
        <v>1869</v>
      </c>
      <c r="F43" s="33" t="s">
        <v>1870</v>
      </c>
      <c r="G43" s="33" t="s">
        <v>1871</v>
      </c>
      <c r="H43" s="33" t="s">
        <v>1872</v>
      </c>
      <c r="I43" s="30" t="s">
        <v>1645</v>
      </c>
      <c r="J43" s="33" t="s">
        <v>1873</v>
      </c>
      <c r="K43" s="33" t="s">
        <v>1874</v>
      </c>
      <c r="L43" s="33" t="s">
        <v>1875</v>
      </c>
    </row>
    <row r="44" customFormat="false" ht="15" hidden="false" customHeight="true" outlineLevel="0" collapsed="false">
      <c r="A44" s="4" t="n">
        <v>43</v>
      </c>
      <c r="B44" s="25" t="s">
        <v>594</v>
      </c>
      <c r="C44" s="8" t="s">
        <v>1540</v>
      </c>
      <c r="D44" s="5" t="s">
        <v>1805</v>
      </c>
      <c r="E44" s="5" t="s">
        <v>1876</v>
      </c>
      <c r="F44" s="5" t="s">
        <v>1877</v>
      </c>
      <c r="G44" s="5" t="s">
        <v>1878</v>
      </c>
      <c r="H44" s="5" t="s">
        <v>1879</v>
      </c>
      <c r="I44" s="4" t="s">
        <v>1546</v>
      </c>
      <c r="J44" s="8" t="s">
        <v>110</v>
      </c>
      <c r="K44" s="5" t="s">
        <v>1880</v>
      </c>
      <c r="L44" s="5" t="s">
        <v>1881</v>
      </c>
    </row>
    <row r="45" customFormat="false" ht="26.25" hidden="false" customHeight="true" outlineLevel="0" collapsed="false">
      <c r="A45" s="6" t="n">
        <v>44</v>
      </c>
      <c r="B45" s="26" t="s">
        <v>594</v>
      </c>
      <c r="C45" s="9" t="s">
        <v>1882</v>
      </c>
      <c r="D45" s="7" t="s">
        <v>1883</v>
      </c>
      <c r="E45" s="7" t="s">
        <v>1884</v>
      </c>
      <c r="F45" s="7" t="s">
        <v>1885</v>
      </c>
      <c r="G45" s="7" t="s">
        <v>1886</v>
      </c>
      <c r="H45" s="7" t="s">
        <v>1887</v>
      </c>
      <c r="I45" s="6" t="s">
        <v>1546</v>
      </c>
      <c r="J45" s="9" t="s">
        <v>110</v>
      </c>
      <c r="K45" s="7" t="s">
        <v>1888</v>
      </c>
      <c r="L45" s="7" t="s">
        <v>1889</v>
      </c>
    </row>
    <row r="46" customFormat="false" ht="26.25" hidden="false" customHeight="true" outlineLevel="0" collapsed="false">
      <c r="A46" s="4" t="n">
        <v>45</v>
      </c>
      <c r="B46" s="25" t="s">
        <v>594</v>
      </c>
      <c r="C46" s="8" t="s">
        <v>1890</v>
      </c>
      <c r="D46" s="5" t="s">
        <v>1891</v>
      </c>
      <c r="E46" s="5" t="s">
        <v>1892</v>
      </c>
      <c r="F46" s="8" t="s">
        <v>1893</v>
      </c>
      <c r="G46" s="8" t="s">
        <v>1894</v>
      </c>
      <c r="H46" s="5" t="s">
        <v>1895</v>
      </c>
      <c r="I46" s="4" t="s">
        <v>1546</v>
      </c>
      <c r="J46" s="8" t="s">
        <v>110</v>
      </c>
      <c r="K46" s="8" t="s">
        <v>1896</v>
      </c>
      <c r="L46" s="5" t="s">
        <v>1850</v>
      </c>
    </row>
    <row r="47" customFormat="false" ht="15" hidden="false" customHeight="true" outlineLevel="0" collapsed="false">
      <c r="A47" s="30" t="n">
        <v>46</v>
      </c>
      <c r="B47" s="31" t="s">
        <v>594</v>
      </c>
      <c r="C47" s="32" t="s">
        <v>1897</v>
      </c>
      <c r="D47" s="33" t="s">
        <v>1898</v>
      </c>
      <c r="E47" s="32" t="s">
        <v>1899</v>
      </c>
      <c r="F47" s="32" t="s">
        <v>1900</v>
      </c>
      <c r="G47" s="33" t="s">
        <v>1901</v>
      </c>
      <c r="H47" s="33" t="s">
        <v>1902</v>
      </c>
      <c r="I47" s="30" t="s">
        <v>1609</v>
      </c>
      <c r="J47" s="32" t="s">
        <v>1903</v>
      </c>
      <c r="K47" s="33" t="s">
        <v>1904</v>
      </c>
      <c r="L47" s="33" t="s">
        <v>1905</v>
      </c>
    </row>
    <row r="48" customFormat="false" ht="26.25" hidden="false" customHeight="true" outlineLevel="0" collapsed="false">
      <c r="A48" s="30" t="n">
        <v>47</v>
      </c>
      <c r="B48" s="31" t="s">
        <v>594</v>
      </c>
      <c r="C48" s="32" t="s">
        <v>1906</v>
      </c>
      <c r="D48" s="33" t="s">
        <v>1907</v>
      </c>
      <c r="E48" s="32" t="s">
        <v>1908</v>
      </c>
      <c r="F48" s="33" t="s">
        <v>1909</v>
      </c>
      <c r="G48" s="33" t="s">
        <v>1910</v>
      </c>
      <c r="H48" s="33" t="s">
        <v>1911</v>
      </c>
      <c r="I48" s="30" t="s">
        <v>1627</v>
      </c>
      <c r="J48" s="33" t="s">
        <v>1912</v>
      </c>
      <c r="K48" s="33" t="s">
        <v>1913</v>
      </c>
      <c r="L48" s="33" t="s">
        <v>1914</v>
      </c>
    </row>
    <row r="49" customFormat="false" ht="15" hidden="false" customHeight="true" outlineLevel="0" collapsed="false">
      <c r="A49" s="30" t="n">
        <v>48</v>
      </c>
      <c r="B49" s="31" t="s">
        <v>594</v>
      </c>
      <c r="C49" s="32" t="s">
        <v>1915</v>
      </c>
      <c r="D49" s="33" t="s">
        <v>1640</v>
      </c>
      <c r="E49" s="33" t="s">
        <v>1916</v>
      </c>
      <c r="F49" s="33" t="s">
        <v>1917</v>
      </c>
      <c r="G49" s="33" t="s">
        <v>1918</v>
      </c>
      <c r="H49" s="33" t="s">
        <v>1731</v>
      </c>
      <c r="I49" s="30" t="s">
        <v>1645</v>
      </c>
      <c r="J49" s="32" t="s">
        <v>1802</v>
      </c>
      <c r="K49" s="32" t="s">
        <v>1803</v>
      </c>
      <c r="L49" s="33" t="s">
        <v>1804</v>
      </c>
    </row>
  </sheetData>
  <autoFilter ref="A1:L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24"/>
    <col collapsed="false" customWidth="true" hidden="false" outlineLevel="0" max="4" min="4" style="1" width="9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22"/>
    <col collapsed="false" customWidth="true" hidden="false" outlineLevel="0" max="10" min="8" style="1" width="8"/>
    <col collapsed="false" customWidth="true" hidden="false" outlineLevel="0" max="13" min="11" style="1" width="7"/>
    <col collapsed="false" customWidth="true" hidden="false" outlineLevel="0" max="14" min="14" style="1" width="10"/>
    <col collapsed="false" customWidth="true" hidden="false" outlineLevel="0" max="17" min="15" style="1" width="9"/>
    <col collapsed="false" customWidth="true" hidden="false" outlineLevel="0" max="18" min="18" style="1" width="10"/>
    <col collapsed="false" customWidth="true" hidden="false" outlineLevel="0" max="19" min="19" style="1" width="8"/>
  </cols>
  <sheetData>
    <row r="1" customFormat="false" ht="21" hidden="false" customHeight="true" outlineLevel="0" collapsed="false">
      <c r="A1" s="34" t="s">
        <v>1919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customFormat="false" ht="13.5" hidden="false" customHeight="true" outlineLevel="0" collapsed="false">
      <c r="A2" s="35" t="s">
        <v>1920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customFormat="false" ht="15" hidden="false" customHeight="true" outlineLevel="0" collapsed="false">
      <c r="A3" s="36" t="s">
        <v>1921</v>
      </c>
      <c r="B3" s="37" t="s">
        <v>1922</v>
      </c>
      <c r="C3" s="36" t="s">
        <v>88</v>
      </c>
      <c r="D3" s="38" t="s">
        <v>1923</v>
      </c>
      <c r="I3" s="36" t="s">
        <v>1924</v>
      </c>
      <c r="J3" s="37" t="n">
        <v>1000</v>
      </c>
    </row>
    <row r="4" customFormat="false" ht="36.75" hidden="false" customHeight="true" outlineLevel="0" collapsed="false">
      <c r="A4" s="36" t="s">
        <v>1456</v>
      </c>
      <c r="B4" s="38" t="s">
        <v>12</v>
      </c>
      <c r="C4" s="36" t="s">
        <v>1925</v>
      </c>
      <c r="D4" s="38" t="s">
        <v>1926</v>
      </c>
      <c r="E4" s="39" t="s">
        <v>1927</v>
      </c>
      <c r="F4" s="40"/>
      <c r="G4" s="41" t="s">
        <v>1928</v>
      </c>
      <c r="H4" s="42" t="str">
        <f aca="false">IFERROR("Bx:"&amp;VLOOKUP($B$4,음료규격기준!$B:$I,2,FALSE()),"")</f>
        <v>Bx:8~13</v>
      </c>
      <c r="I4" s="42" t="str">
        <f aca="false">IFERROR("pH:"&amp;VLOOKUP($B$4,음료규격기준!$B:$I,3,FALSE()),"")</f>
        <v>pH:3.0~4.5</v>
      </c>
      <c r="J4" s="42" t="str">
        <f aca="false">IFERROR("산도:"&amp;VLOOKUP($B$4,음료규격기준!$B:$I,4,FALSE()),"")</f>
        <v>산도:0.2~1.0</v>
      </c>
      <c r="K4" s="42" t="str">
        <f aca="false">IFERROR("과즙:"&amp;VLOOKUP($B$4,음료규격기준!$B:$I,5,FALSE()),"")</f>
        <v>과즙:10~99%</v>
      </c>
      <c r="N4" s="43" t="s">
        <v>1929</v>
      </c>
      <c r="O4" s="44" t="s">
        <v>101</v>
      </c>
      <c r="P4" s="44" t="s">
        <v>102</v>
      </c>
      <c r="Q4" s="44" t="s">
        <v>1930</v>
      </c>
      <c r="R4" s="44" t="s">
        <v>1931</v>
      </c>
    </row>
    <row r="5" customFormat="false" ht="15" hidden="false" customHeight="true" outlineLevel="0" collapsed="false">
      <c r="E5" s="45" t="s">
        <v>1932</v>
      </c>
      <c r="F5" s="45"/>
      <c r="G5" s="45"/>
      <c r="H5" s="45"/>
      <c r="I5" s="45"/>
      <c r="J5" s="45"/>
      <c r="K5" s="45"/>
      <c r="O5" s="46" t="n">
        <v>11</v>
      </c>
      <c r="P5" s="46" t="n">
        <v>0.35</v>
      </c>
      <c r="Q5" s="46" t="s">
        <v>110</v>
      </c>
      <c r="R5" s="46" t="n">
        <v>1500</v>
      </c>
    </row>
    <row r="6" customFormat="false" ht="29.25" hidden="false" customHeight="true" outlineLevel="0" collapsed="false">
      <c r="A6" s="47" t="s">
        <v>0</v>
      </c>
      <c r="B6" s="48" t="s">
        <v>1933</v>
      </c>
      <c r="C6" s="48" t="s">
        <v>1934</v>
      </c>
      <c r="D6" s="48" t="s">
        <v>1935</v>
      </c>
      <c r="E6" s="47" t="s">
        <v>1936</v>
      </c>
      <c r="F6" s="47" t="s">
        <v>1937</v>
      </c>
      <c r="G6" s="48" t="s">
        <v>1938</v>
      </c>
      <c r="H6" s="48" t="s">
        <v>1939</v>
      </c>
      <c r="I6" s="48" t="s">
        <v>1940</v>
      </c>
      <c r="J6" s="48" t="s">
        <v>1941</v>
      </c>
      <c r="K6" s="48" t="s">
        <v>1930</v>
      </c>
      <c r="L6" s="48" t="s">
        <v>1942</v>
      </c>
      <c r="M6" s="48" t="s">
        <v>1943</v>
      </c>
      <c r="N6" s="48" t="s">
        <v>1944</v>
      </c>
      <c r="O6" s="48" t="s">
        <v>1945</v>
      </c>
      <c r="P6" s="48" t="s">
        <v>1946</v>
      </c>
      <c r="Q6" s="48" t="s">
        <v>1947</v>
      </c>
      <c r="R6" s="48" t="s">
        <v>1948</v>
      </c>
      <c r="S6" s="48" t="s">
        <v>1949</v>
      </c>
    </row>
    <row r="7" customFormat="false" ht="15" hidden="false" customHeight="true" outlineLevel="0" collapsed="false">
      <c r="A7" s="49" t="n">
        <v>1</v>
      </c>
      <c r="B7" s="50" t="s">
        <v>1950</v>
      </c>
      <c r="C7" s="38" t="s">
        <v>942</v>
      </c>
      <c r="D7" s="51" t="n">
        <v>8</v>
      </c>
      <c r="E7" s="52" t="str">
        <f aca="false">IFERROR(VLOOKUP($B$4&amp;"_"&amp;IF($F$4&lt;&gt;"",$F$4,$D$4)&amp;"_1",가이드배합비DB!$A:$G,4,FALSE()),"")</f>
        <v>사과농축과즙(70Brix)</v>
      </c>
      <c r="F7" s="53" t="n">
        <f aca="false">IFERROR(VLOOKUP($B$4&amp;"_"&amp;IF($F$4&lt;&gt;"",$F$4,$D$4)&amp;"_1",가이드배합비DB!$A:$G,5,FALSE()),"")</f>
        <v>8</v>
      </c>
      <c r="G7" s="54" t="str">
        <f aca="false">IFERROR(VLOOKUP($B$4&amp;"_"&amp;IF($F$4&lt;&gt;"",$F$4,$D$4)&amp;"_1",가이드배합비DB!$A:$G,6,FALSE()),"")</f>
        <v>사과농축과즙(70Brix)</v>
      </c>
      <c r="H7" s="55" t="n">
        <f aca="false">IFERROR(VLOOKUP($B$4&amp;"_"&amp;IF($F$4&lt;&gt;"",$F$4,$D$4)&amp;"_1",가이드배합비DB!$A:$G,7,FALSE()),"")</f>
        <v>3</v>
      </c>
      <c r="I7" s="56" t="n">
        <f aca="false">IFERROR(VLOOKUP(C7,원료DB!$D:$Q,2,FALSE()),"")</f>
        <v>70</v>
      </c>
      <c r="J7" s="56" t="n">
        <f aca="false">IFERROR(VLOOKUP(C7,원료DB!$D:$Q,4,FALSE()),"")</f>
        <v>3.5</v>
      </c>
      <c r="K7" s="56" t="n">
        <f aca="false">IFERROR(VLOOKUP(C7,원료DB!$D:$Q,5,FALSE()),"")</f>
        <v>0</v>
      </c>
      <c r="L7" s="57"/>
      <c r="M7" s="57"/>
      <c r="N7" s="58" t="n">
        <f aca="false">IFERROR(VLOOKUP(C7,원료DB!$D:$Q,9,FALSE()),"")</f>
        <v>3500</v>
      </c>
      <c r="O7" s="59" t="n">
        <f aca="false">IFERROR(D7/100*I7,0)</f>
        <v>5.6</v>
      </c>
      <c r="P7" s="60" t="n">
        <f aca="false">IFERROR(D7/100*J7,0)</f>
        <v>0.28</v>
      </c>
      <c r="Q7" s="60" t="n">
        <f aca="false">IFERROR(D7/100*K7,0)</f>
        <v>0</v>
      </c>
      <c r="R7" s="58" t="n">
        <f aca="false">IFERROR(D7/100*N7,0)</f>
        <v>280</v>
      </c>
      <c r="S7" s="61" t="n">
        <f aca="false">IFERROR(D7*10,0)</f>
        <v>80</v>
      </c>
    </row>
    <row r="8" customFormat="false" ht="15" hidden="false" customHeight="true" outlineLevel="0" collapsed="false">
      <c r="A8" s="49" t="n">
        <v>2</v>
      </c>
      <c r="B8" s="50"/>
      <c r="C8" s="38" t="s">
        <v>1414</v>
      </c>
      <c r="D8" s="51" t="n">
        <v>5</v>
      </c>
      <c r="E8" s="52" t="str">
        <f aca="false">IFERROR(VLOOKUP($B$4&amp;"_"&amp;IF($F$4&lt;&gt;"",$F$4,$D$4)&amp;"_2",가이드배합비DB!$A:$G,4,FALSE()),"")</f>
        <v>사과페이스트</v>
      </c>
      <c r="F8" s="53" t="n">
        <f aca="false">IFERROR(VLOOKUP($B$4&amp;"_"&amp;IF($F$4&lt;&gt;"",$F$4,$D$4)&amp;"_2",가이드배합비DB!$A:$G,5,FALSE()),"")</f>
        <v>5</v>
      </c>
      <c r="G8" s="54" t="str">
        <f aca="false">IFERROR(VLOOKUP($B$4&amp;"_"&amp;IF($F$4&lt;&gt;"",$F$4,$D$4)&amp;"_2",가이드배합비DB!$A:$G,6,FALSE()),"")</f>
        <v>사과퓨레</v>
      </c>
      <c r="H8" s="55" t="n">
        <f aca="false">IFERROR(VLOOKUP($B$4&amp;"_"&amp;IF($F$4&lt;&gt;"",$F$4,$D$4)&amp;"_2",가이드배합비DB!$A:$G,7,FALSE()),"")</f>
        <v>10</v>
      </c>
      <c r="I8" s="56" t="n">
        <f aca="false">IFERROR(VLOOKUP(C8,원료DB!$D:$Q,2,FALSE()),"")</f>
        <v>4</v>
      </c>
      <c r="J8" s="56" t="n">
        <f aca="false">IFERROR(VLOOKUP(C8,원료DB!$D:$Q,4,FALSE()),"")</f>
        <v>0.25</v>
      </c>
      <c r="K8" s="56" t="n">
        <f aca="false">IFERROR(VLOOKUP(C8,원료DB!$D:$Q,5,FALSE()),"")</f>
        <v>0</v>
      </c>
      <c r="L8" s="57"/>
      <c r="M8" s="57"/>
      <c r="N8" s="58" t="n">
        <f aca="false">IFERROR(VLOOKUP(C8,원료DB!$D:$Q,9,FALSE()),"")</f>
        <v>650</v>
      </c>
      <c r="O8" s="59" t="n">
        <f aca="false">IFERROR(D8/100*I8,0)</f>
        <v>0.2</v>
      </c>
      <c r="P8" s="60" t="n">
        <f aca="false">IFERROR(D8/100*J8,0)</f>
        <v>0.0125</v>
      </c>
      <c r="Q8" s="60" t="n">
        <f aca="false">IFERROR(D8/100*K8,0)</f>
        <v>0</v>
      </c>
      <c r="R8" s="58" t="n">
        <f aca="false">IFERROR(D8/100*N8,0)</f>
        <v>32.5</v>
      </c>
      <c r="S8" s="61" t="n">
        <f aca="false">IFERROR(D8*10,0)</f>
        <v>50</v>
      </c>
    </row>
    <row r="9" customFormat="false" ht="15" hidden="false" customHeight="true" outlineLevel="0" collapsed="false">
      <c r="A9" s="49" t="n">
        <v>3</v>
      </c>
      <c r="B9" s="50"/>
      <c r="C9" s="38"/>
      <c r="D9" s="51"/>
      <c r="E9" s="52" t="n">
        <f aca="false">IFERROR(VLOOKUP($B$4&amp;"_"&amp;IF($F$4&lt;&gt;"",$F$4,$D$4)&amp;"_3",가이드배합비DB!$A:$G,4,FALSE()),"")</f>
        <v>0</v>
      </c>
      <c r="F9" s="53" t="n">
        <f aca="false">IFERROR(VLOOKUP($B$4&amp;"_"&amp;IF($F$4&lt;&gt;"",$F$4,$D$4)&amp;"_3",가이드배합비DB!$A:$G,5,FALSE()),"")</f>
        <v>0</v>
      </c>
      <c r="G9" s="54" t="str">
        <f aca="false">IFERROR(VLOOKUP($B$4&amp;"_"&amp;IF($F$4&lt;&gt;"",$F$4,$D$4)&amp;"_3",가이드배합비DB!$A:$G,6,FALSE()),"")</f>
        <v>사과농축과즙(70Brix)</v>
      </c>
      <c r="H9" s="55" t="n">
        <f aca="false">IFERROR(VLOOKUP($B$4&amp;"_"&amp;IF($F$4&lt;&gt;"",$F$4,$D$4)&amp;"_3",가이드배합비DB!$A:$G,7,FALSE()),"")</f>
        <v>3</v>
      </c>
      <c r="I9" s="56" t="str">
        <f aca="false">IFERROR(VLOOKUP(C9,원료DB!$D:$Q,2,FALSE()),"")</f>
        <v/>
      </c>
      <c r="J9" s="56" t="str">
        <f aca="false">IFERROR(VLOOKUP(C9,원료DB!$D:$Q,4,FALSE()),"")</f>
        <v/>
      </c>
      <c r="K9" s="56" t="str">
        <f aca="false">IFERROR(VLOOKUP(C9,원료DB!$D:$Q,5,FALSE()),"")</f>
        <v/>
      </c>
      <c r="L9" s="57"/>
      <c r="M9" s="57"/>
      <c r="N9" s="58" t="str">
        <f aca="false">IFERROR(VLOOKUP(C9,원료DB!$D:$Q,9,FALSE()),"")</f>
        <v/>
      </c>
      <c r="O9" s="59" t="n">
        <f aca="false">IFERROR(D9/100*I9,0)</f>
        <v>0</v>
      </c>
      <c r="P9" s="60" t="n">
        <f aca="false">IFERROR(D9/100*J9,0)</f>
        <v>0</v>
      </c>
      <c r="Q9" s="60" t="n">
        <f aca="false">IFERROR(D9/100*K9,0)</f>
        <v>0</v>
      </c>
      <c r="R9" s="58" t="n">
        <f aca="false">IFERROR(D9/100*N9,0)</f>
        <v>0</v>
      </c>
      <c r="S9" s="61" t="n">
        <f aca="false">IFERROR(D9*10,0)</f>
        <v>0</v>
      </c>
    </row>
    <row r="10" customFormat="false" ht="15" hidden="false" customHeight="true" outlineLevel="0" collapsed="false">
      <c r="A10" s="49" t="n">
        <v>4</v>
      </c>
      <c r="B10" s="50"/>
      <c r="C10" s="38"/>
      <c r="D10" s="51"/>
      <c r="E10" s="52" t="n">
        <f aca="false">IFERROR(VLOOKUP($B$4&amp;"_"&amp;IF($F$4&lt;&gt;"",$F$4,$D$4)&amp;"_4",가이드배합비DB!$A:$G,4,FALSE()),"")</f>
        <v>0</v>
      </c>
      <c r="F10" s="53" t="n">
        <f aca="false">IFERROR(VLOOKUP($B$4&amp;"_"&amp;IF($F$4&lt;&gt;"",$F$4,$D$4)&amp;"_4",가이드배합비DB!$A:$G,5,FALSE()),"")</f>
        <v>0</v>
      </c>
      <c r="G10" s="54" t="n">
        <f aca="false">IFERROR(VLOOKUP($B$4&amp;"_"&amp;IF($F$4&lt;&gt;"",$F$4,$D$4)&amp;"_4",가이드배합비DB!$A:$G,6,FALSE()),"")</f>
        <v>0</v>
      </c>
      <c r="H10" s="55" t="n">
        <f aca="false">IFERROR(VLOOKUP($B$4&amp;"_"&amp;IF($F$4&lt;&gt;"",$F$4,$D$4)&amp;"_4",가이드배합비DB!$A:$G,7,FALSE()),"")</f>
        <v>0</v>
      </c>
      <c r="I10" s="56" t="str">
        <f aca="false">IFERROR(VLOOKUP(C10,원료DB!$D:$Q,2,FALSE()),"")</f>
        <v/>
      </c>
      <c r="J10" s="56" t="str">
        <f aca="false">IFERROR(VLOOKUP(C10,원료DB!$D:$Q,4,FALSE()),"")</f>
        <v/>
      </c>
      <c r="K10" s="56" t="str">
        <f aca="false">IFERROR(VLOOKUP(C10,원료DB!$D:$Q,5,FALSE()),"")</f>
        <v/>
      </c>
      <c r="L10" s="57"/>
      <c r="M10" s="57"/>
      <c r="N10" s="58" t="str">
        <f aca="false">IFERROR(VLOOKUP(C10,원료DB!$D:$Q,9,FALSE()),"")</f>
        <v/>
      </c>
      <c r="O10" s="59" t="n">
        <f aca="false">IFERROR(D10/100*I10,0)</f>
        <v>0</v>
      </c>
      <c r="P10" s="60" t="n">
        <f aca="false">IFERROR(D10/100*J10,0)</f>
        <v>0</v>
      </c>
      <c r="Q10" s="60" t="n">
        <f aca="false">IFERROR(D10/100*K10,0)</f>
        <v>0</v>
      </c>
      <c r="R10" s="58" t="n">
        <f aca="false">IFERROR(D10/100*N10,0)</f>
        <v>0</v>
      </c>
      <c r="S10" s="61" t="n">
        <f aca="false">IFERROR(D10*10,0)</f>
        <v>0</v>
      </c>
    </row>
    <row r="11" customFormat="false" ht="15" hidden="false" customHeight="true" outlineLevel="0" collapsed="false">
      <c r="A11" s="49" t="n">
        <v>5</v>
      </c>
      <c r="B11" s="50" t="s">
        <v>1951</v>
      </c>
      <c r="C11" s="38" t="s">
        <v>1004</v>
      </c>
      <c r="D11" s="51" t="n">
        <v>7</v>
      </c>
      <c r="E11" s="52" t="str">
        <f aca="false">IFERROR(VLOOKUP($B$4&amp;"_"&amp;IF($F$4&lt;&gt;"",$F$4,$D$4)&amp;"_5",가이드배합비DB!$A:$G,4,FALSE()),"")</f>
        <v>액상과당(HFCS55)</v>
      </c>
      <c r="F11" s="53" t="n">
        <f aca="false">IFERROR(VLOOKUP($B$4&amp;"_"&amp;IF($F$4&lt;&gt;"",$F$4,$D$4)&amp;"_5",가이드배합비DB!$A:$G,5,FALSE()),"")</f>
        <v>7</v>
      </c>
      <c r="G11" s="54" t="str">
        <f aca="false">IFERROR(VLOOKUP($B$4&amp;"_"&amp;IF($F$4&lt;&gt;"",$F$4,$D$4)&amp;"_5",가이드배합비DB!$A:$G,6,FALSE()),"")</f>
        <v>프락토올리고당(FOS)</v>
      </c>
      <c r="H11" s="55" t="n">
        <f aca="false">IFERROR(VLOOKUP($B$4&amp;"_"&amp;IF($F$4&lt;&gt;"",$F$4,$D$4)&amp;"_5",가이드배합비DB!$A:$G,7,FALSE()),"")</f>
        <v>8.5</v>
      </c>
      <c r="I11" s="56" t="n">
        <f aca="false">IFERROR(VLOOKUP(C11,원료DB!$D:$Q,2,FALSE()),"")</f>
        <v>77</v>
      </c>
      <c r="J11" s="56" t="str">
        <f aca="false">IFERROR(VLOOKUP(C11,원료DB!$D:$Q,4,FALSE()),"")</f>
        <v>—</v>
      </c>
      <c r="K11" s="56" t="n">
        <f aca="false">IFERROR(VLOOKUP(C11,원료DB!$D:$Q,5,FALSE()),"")</f>
        <v>1</v>
      </c>
      <c r="L11" s="57"/>
      <c r="M11" s="57"/>
      <c r="N11" s="58" t="n">
        <f aca="false">IFERROR(VLOOKUP(C11,원료DB!$D:$Q,9,FALSE()),"")</f>
        <v>1000</v>
      </c>
      <c r="O11" s="59" t="n">
        <f aca="false">IFERROR(D11/100*I11,0)</f>
        <v>5.39</v>
      </c>
      <c r="P11" s="60" t="n">
        <f aca="false">IFERROR(D11/100*J11,0)</f>
        <v>0</v>
      </c>
      <c r="Q11" s="60" t="n">
        <f aca="false">IFERROR(D11/100*K11,0)</f>
        <v>0.07</v>
      </c>
      <c r="R11" s="58" t="n">
        <f aca="false">IFERROR(D11/100*N11,0)</f>
        <v>70</v>
      </c>
      <c r="S11" s="61" t="n">
        <f aca="false">IFERROR(D11*10,0)</f>
        <v>70</v>
      </c>
    </row>
    <row r="12" customFormat="false" ht="15" hidden="false" customHeight="true" outlineLevel="0" collapsed="false">
      <c r="A12" s="49" t="n">
        <v>6</v>
      </c>
      <c r="B12" s="50"/>
      <c r="C12" s="38" t="s">
        <v>996</v>
      </c>
      <c r="D12" s="51" t="n">
        <v>2</v>
      </c>
      <c r="E12" s="52" t="str">
        <f aca="false">IFERROR(VLOOKUP($B$4&amp;"_"&amp;IF($F$4&lt;&gt;"",$F$4,$D$4)&amp;"_6",가이드배합비DB!$A:$G,4,FALSE()),"")</f>
        <v>백설탕(정제당)</v>
      </c>
      <c r="F12" s="53" t="n">
        <f aca="false">IFERROR(VLOOKUP($B$4&amp;"_"&amp;IF($F$4&lt;&gt;"",$F$4,$D$4)&amp;"_6",가이드배합비DB!$A:$G,5,FALSE()),"")</f>
        <v>2</v>
      </c>
      <c r="G12" s="54" t="n">
        <f aca="false">IFERROR(VLOOKUP($B$4&amp;"_"&amp;IF($F$4&lt;&gt;"",$F$4,$D$4)&amp;"_6",가이드배합비DB!$A:$G,6,FALSE()),"")</f>
        <v>0</v>
      </c>
      <c r="H12" s="55" t="n">
        <f aca="false">IFERROR(VLOOKUP($B$4&amp;"_"&amp;IF($F$4&lt;&gt;"",$F$4,$D$4)&amp;"_6",가이드배합비DB!$A:$G,7,FALSE()),"")</f>
        <v>0</v>
      </c>
      <c r="I12" s="56" t="n">
        <f aca="false">IFERROR(VLOOKUP(C12,원료DB!$D:$Q,2,FALSE()),"")</f>
        <v>99.9</v>
      </c>
      <c r="J12" s="56" t="str">
        <f aca="false">IFERROR(VLOOKUP(C12,원료DB!$D:$Q,4,FALSE()),"")</f>
        <v>—</v>
      </c>
      <c r="K12" s="56" t="n">
        <f aca="false">IFERROR(VLOOKUP(C12,원료DB!$D:$Q,5,FALSE()),"")</f>
        <v>1</v>
      </c>
      <c r="L12" s="57"/>
      <c r="M12" s="57"/>
      <c r="N12" s="58" t="n">
        <f aca="false">IFERROR(VLOOKUP(C12,원료DB!$D:$Q,9,FALSE()),"")</f>
        <v>1200</v>
      </c>
      <c r="O12" s="59" t="n">
        <f aca="false">IFERROR(D12/100*I12,0)</f>
        <v>1.998</v>
      </c>
      <c r="P12" s="60" t="n">
        <f aca="false">IFERROR(D12/100*J12,0)</f>
        <v>0</v>
      </c>
      <c r="Q12" s="60" t="n">
        <f aca="false">IFERROR(D12/100*K12,0)</f>
        <v>0.02</v>
      </c>
      <c r="R12" s="58" t="n">
        <f aca="false">IFERROR(D12/100*N12,0)</f>
        <v>24</v>
      </c>
      <c r="S12" s="61" t="n">
        <f aca="false">IFERROR(D12*10,0)</f>
        <v>20</v>
      </c>
    </row>
    <row r="13" customFormat="false" ht="15" hidden="false" customHeight="true" outlineLevel="0" collapsed="false">
      <c r="A13" s="49" t="n">
        <v>7</v>
      </c>
      <c r="B13" s="50"/>
      <c r="C13" s="38"/>
      <c r="D13" s="51"/>
      <c r="E13" s="52" t="n">
        <f aca="false">IFERROR(VLOOKUP($B$4&amp;"_"&amp;IF($F$4&lt;&gt;"",$F$4,$D$4)&amp;"_7",가이드배합비DB!$A:$G,4,FALSE()),"")</f>
        <v>0</v>
      </c>
      <c r="F13" s="53" t="n">
        <f aca="false">IFERROR(VLOOKUP($B$4&amp;"_"&amp;IF($F$4&lt;&gt;"",$F$4,$D$4)&amp;"_7",가이드배합비DB!$A:$G,5,FALSE()),"")</f>
        <v>0</v>
      </c>
      <c r="G13" s="54" t="n">
        <f aca="false">IFERROR(VLOOKUP($B$4&amp;"_"&amp;IF($F$4&lt;&gt;"",$F$4,$D$4)&amp;"_7",가이드배합비DB!$A:$G,6,FALSE()),"")</f>
        <v>0</v>
      </c>
      <c r="H13" s="55" t="n">
        <f aca="false">IFERROR(VLOOKUP($B$4&amp;"_"&amp;IF($F$4&lt;&gt;"",$F$4,$D$4)&amp;"_7",가이드배합비DB!$A:$G,7,FALSE()),"")</f>
        <v>0</v>
      </c>
      <c r="I13" s="56" t="str">
        <f aca="false">IFERROR(VLOOKUP(C13,원료DB!$D:$Q,2,FALSE()),"")</f>
        <v/>
      </c>
      <c r="J13" s="56" t="str">
        <f aca="false">IFERROR(VLOOKUP(C13,원료DB!$D:$Q,4,FALSE()),"")</f>
        <v/>
      </c>
      <c r="K13" s="56" t="str">
        <f aca="false">IFERROR(VLOOKUP(C13,원료DB!$D:$Q,5,FALSE()),"")</f>
        <v/>
      </c>
      <c r="L13" s="57"/>
      <c r="M13" s="57"/>
      <c r="N13" s="58" t="str">
        <f aca="false">IFERROR(VLOOKUP(C13,원료DB!$D:$Q,9,FALSE()),"")</f>
        <v/>
      </c>
      <c r="O13" s="59" t="n">
        <f aca="false">IFERROR(D13/100*I13,0)</f>
        <v>0</v>
      </c>
      <c r="P13" s="60" t="n">
        <f aca="false">IFERROR(D13/100*J13,0)</f>
        <v>0</v>
      </c>
      <c r="Q13" s="60" t="n">
        <f aca="false">IFERROR(D13/100*K13,0)</f>
        <v>0</v>
      </c>
      <c r="R13" s="58" t="n">
        <f aca="false">IFERROR(D13/100*N13,0)</f>
        <v>0</v>
      </c>
      <c r="S13" s="61" t="n">
        <f aca="false">IFERROR(D13*10,0)</f>
        <v>0</v>
      </c>
    </row>
    <row r="14" customFormat="false" ht="15" hidden="false" customHeight="true" outlineLevel="0" collapsed="false">
      <c r="A14" s="49" t="n">
        <v>8</v>
      </c>
      <c r="B14" s="50"/>
      <c r="C14" s="38"/>
      <c r="D14" s="51"/>
      <c r="E14" s="52" t="n">
        <f aca="false">IFERROR(VLOOKUP($B$4&amp;"_"&amp;IF($F$4&lt;&gt;"",$F$4,$D$4)&amp;"_8",가이드배합비DB!$A:$G,4,FALSE()),"")</f>
        <v>0</v>
      </c>
      <c r="F14" s="53" t="n">
        <f aca="false">IFERROR(VLOOKUP($B$4&amp;"_"&amp;IF($F$4&lt;&gt;"",$F$4,$D$4)&amp;"_8",가이드배합비DB!$A:$G,5,FALSE()),"")</f>
        <v>0</v>
      </c>
      <c r="G14" s="54" t="n">
        <f aca="false">IFERROR(VLOOKUP($B$4&amp;"_"&amp;IF($F$4&lt;&gt;"",$F$4,$D$4)&amp;"_8",가이드배합비DB!$A:$G,6,FALSE()),"")</f>
        <v>0</v>
      </c>
      <c r="H14" s="55" t="n">
        <f aca="false">IFERROR(VLOOKUP($B$4&amp;"_"&amp;IF($F$4&lt;&gt;"",$F$4,$D$4)&amp;"_8",가이드배합비DB!$A:$G,7,FALSE()),"")</f>
        <v>0</v>
      </c>
      <c r="I14" s="56" t="str">
        <f aca="false">IFERROR(VLOOKUP(C14,원료DB!$D:$Q,2,FALSE()),"")</f>
        <v/>
      </c>
      <c r="J14" s="56" t="str">
        <f aca="false">IFERROR(VLOOKUP(C14,원료DB!$D:$Q,4,FALSE()),"")</f>
        <v/>
      </c>
      <c r="K14" s="56" t="str">
        <f aca="false">IFERROR(VLOOKUP(C14,원료DB!$D:$Q,5,FALSE()),"")</f>
        <v/>
      </c>
      <c r="L14" s="57"/>
      <c r="M14" s="57"/>
      <c r="N14" s="58" t="str">
        <f aca="false">IFERROR(VLOOKUP(C14,원료DB!$D:$Q,9,FALSE()),"")</f>
        <v/>
      </c>
      <c r="O14" s="59" t="n">
        <f aca="false">IFERROR(D14/100*I14,0)</f>
        <v>0</v>
      </c>
      <c r="P14" s="60" t="n">
        <f aca="false">IFERROR(D14/100*J14,0)</f>
        <v>0</v>
      </c>
      <c r="Q14" s="60" t="n">
        <f aca="false">IFERROR(D14/100*K14,0)</f>
        <v>0</v>
      </c>
      <c r="R14" s="58" t="n">
        <f aca="false">IFERROR(D14/100*N14,0)</f>
        <v>0</v>
      </c>
      <c r="S14" s="61" t="n">
        <f aca="false">IFERROR(D14*10,0)</f>
        <v>0</v>
      </c>
    </row>
    <row r="15" customFormat="false" ht="15" hidden="false" customHeight="true" outlineLevel="0" collapsed="false">
      <c r="A15" s="49" t="n">
        <v>9</v>
      </c>
      <c r="B15" s="50" t="s">
        <v>1952</v>
      </c>
      <c r="C15" s="38" t="s">
        <v>1305</v>
      </c>
      <c r="D15" s="51" t="n">
        <v>0.15</v>
      </c>
      <c r="E15" s="52" t="str">
        <f aca="false">IFERROR(VLOOKUP($B$4&amp;"_"&amp;IF($F$4&lt;&gt;"",$F$4,$D$4)&amp;"_9",가이드배합비DB!$A:$G,4,FALSE()),"")</f>
        <v>펙틴(HM/고메톡실)</v>
      </c>
      <c r="F15" s="53" t="n">
        <f aca="false">IFERROR(VLOOKUP($B$4&amp;"_"&amp;IF($F$4&lt;&gt;"",$F$4,$D$4)&amp;"_9",가이드배합비DB!$A:$G,5,FALSE()),"")</f>
        <v>0.15</v>
      </c>
      <c r="G15" s="54" t="str">
        <f aca="false">IFERROR(VLOOKUP($B$4&amp;"_"&amp;IF($F$4&lt;&gt;"",$F$4,$D$4)&amp;"_9",가이드배합비DB!$A:$G,6,FALSE()),"")</f>
        <v>펙틴(HM/고메톡실)</v>
      </c>
      <c r="H15" s="55" t="n">
        <f aca="false">IFERROR(VLOOKUP($B$4&amp;"_"&amp;IF($F$4&lt;&gt;"",$F$4,$D$4)&amp;"_9",가이드배합비DB!$A:$G,7,FALSE()),"")</f>
        <v>0.15</v>
      </c>
      <c r="I15" s="56" t="str">
        <f aca="false">IFERROR(VLOOKUP(C15,원료DB!$D:$Q,2,FALSE()),"")</f>
        <v>—</v>
      </c>
      <c r="J15" s="56" t="str">
        <f aca="false">IFERROR(VLOOKUP(C15,원료DB!$D:$Q,4,FALSE()),"")</f>
        <v>—</v>
      </c>
      <c r="K15" s="56" t="n">
        <f aca="false">IFERROR(VLOOKUP(C15,원료DB!$D:$Q,5,FALSE()),"")</f>
        <v>0</v>
      </c>
      <c r="L15" s="57"/>
      <c r="M15" s="57"/>
      <c r="N15" s="58" t="n">
        <f aca="false">IFERROR(VLOOKUP(C15,원료DB!$D:$Q,9,FALSE()),"")</f>
        <v>25000</v>
      </c>
      <c r="O15" s="59" t="n">
        <f aca="false">IFERROR(D15/100*I15,0)</f>
        <v>0</v>
      </c>
      <c r="P15" s="60" t="n">
        <f aca="false">IFERROR(D15/100*J15,0)</f>
        <v>0</v>
      </c>
      <c r="Q15" s="60" t="n">
        <f aca="false">IFERROR(D15/100*K15,0)</f>
        <v>0</v>
      </c>
      <c r="R15" s="58" t="n">
        <f aca="false">IFERROR(D15/100*N15,0)</f>
        <v>37.5</v>
      </c>
      <c r="S15" s="61" t="n">
        <f aca="false">IFERROR(D15*10,0)</f>
        <v>1.5</v>
      </c>
    </row>
    <row r="16" customFormat="false" ht="15" hidden="false" customHeight="true" outlineLevel="0" collapsed="false">
      <c r="A16" s="49" t="n">
        <v>10</v>
      </c>
      <c r="B16" s="50"/>
      <c r="C16" s="38"/>
      <c r="D16" s="51"/>
      <c r="E16" s="52" t="n">
        <f aca="false">IFERROR(VLOOKUP($B$4&amp;"_"&amp;IF($F$4&lt;&gt;"",$F$4,$D$4)&amp;"_10",가이드배합비DB!$A:$G,4,FALSE()),"")</f>
        <v>0</v>
      </c>
      <c r="F16" s="53" t="n">
        <f aca="false">IFERROR(VLOOKUP($B$4&amp;"_"&amp;IF($F$4&lt;&gt;"",$F$4,$D$4)&amp;"_10",가이드배합비DB!$A:$G,5,FALSE()),"")</f>
        <v>0</v>
      </c>
      <c r="G16" s="54" t="n">
        <f aca="false">IFERROR(VLOOKUP($B$4&amp;"_"&amp;IF($F$4&lt;&gt;"",$F$4,$D$4)&amp;"_10",가이드배합비DB!$A:$G,6,FALSE()),"")</f>
        <v>0</v>
      </c>
      <c r="H16" s="55" t="n">
        <f aca="false">IFERROR(VLOOKUP($B$4&amp;"_"&amp;IF($F$4&lt;&gt;"",$F$4,$D$4)&amp;"_10",가이드배합비DB!$A:$G,7,FALSE()),"")</f>
        <v>0</v>
      </c>
      <c r="I16" s="56" t="str">
        <f aca="false">IFERROR(VLOOKUP(C16,원료DB!$D:$Q,2,FALSE()),"")</f>
        <v/>
      </c>
      <c r="J16" s="56" t="str">
        <f aca="false">IFERROR(VLOOKUP(C16,원료DB!$D:$Q,4,FALSE()),"")</f>
        <v/>
      </c>
      <c r="K16" s="56" t="str">
        <f aca="false">IFERROR(VLOOKUP(C16,원료DB!$D:$Q,5,FALSE()),"")</f>
        <v/>
      </c>
      <c r="L16" s="57"/>
      <c r="M16" s="57"/>
      <c r="N16" s="58" t="str">
        <f aca="false">IFERROR(VLOOKUP(C16,원료DB!$D:$Q,9,FALSE()),"")</f>
        <v/>
      </c>
      <c r="O16" s="59" t="n">
        <f aca="false">IFERROR(D16/100*I16,0)</f>
        <v>0</v>
      </c>
      <c r="P16" s="60" t="n">
        <f aca="false">IFERROR(D16/100*J16,0)</f>
        <v>0</v>
      </c>
      <c r="Q16" s="60" t="n">
        <f aca="false">IFERROR(D16/100*K16,0)</f>
        <v>0</v>
      </c>
      <c r="R16" s="58" t="n">
        <f aca="false">IFERROR(D16/100*N16,0)</f>
        <v>0</v>
      </c>
      <c r="S16" s="61" t="n">
        <f aca="false">IFERROR(D16*10,0)</f>
        <v>0</v>
      </c>
    </row>
    <row r="17" customFormat="false" ht="15" hidden="false" customHeight="true" outlineLevel="0" collapsed="false">
      <c r="A17" s="49" t="n">
        <v>11</v>
      </c>
      <c r="B17" s="50"/>
      <c r="C17" s="38"/>
      <c r="D17" s="51"/>
      <c r="E17" s="52" t="n">
        <f aca="false">IFERROR(VLOOKUP($B$4&amp;"_"&amp;IF($F$4&lt;&gt;"",$F$4,$D$4)&amp;"_11",가이드배합비DB!$A:$G,4,FALSE()),"")</f>
        <v>0</v>
      </c>
      <c r="F17" s="53" t="n">
        <f aca="false">IFERROR(VLOOKUP($B$4&amp;"_"&amp;IF($F$4&lt;&gt;"",$F$4,$D$4)&amp;"_11",가이드배합비DB!$A:$G,5,FALSE()),"")</f>
        <v>0</v>
      </c>
      <c r="G17" s="54" t="n">
        <f aca="false">IFERROR(VLOOKUP($B$4&amp;"_"&amp;IF($F$4&lt;&gt;"",$F$4,$D$4)&amp;"_11",가이드배합비DB!$A:$G,6,FALSE()),"")</f>
        <v>0</v>
      </c>
      <c r="H17" s="55" t="n">
        <f aca="false">IFERROR(VLOOKUP($B$4&amp;"_"&amp;IF($F$4&lt;&gt;"",$F$4,$D$4)&amp;"_11",가이드배합비DB!$A:$G,7,FALSE()),"")</f>
        <v>0</v>
      </c>
      <c r="I17" s="56" t="str">
        <f aca="false">IFERROR(VLOOKUP(C17,원료DB!$D:$Q,2,FALSE()),"")</f>
        <v/>
      </c>
      <c r="J17" s="56" t="str">
        <f aca="false">IFERROR(VLOOKUP(C17,원료DB!$D:$Q,4,FALSE()),"")</f>
        <v/>
      </c>
      <c r="K17" s="56" t="str">
        <f aca="false">IFERROR(VLOOKUP(C17,원료DB!$D:$Q,5,FALSE()),"")</f>
        <v/>
      </c>
      <c r="L17" s="57"/>
      <c r="M17" s="57"/>
      <c r="N17" s="58" t="str">
        <f aca="false">IFERROR(VLOOKUP(C17,원료DB!$D:$Q,9,FALSE()),"")</f>
        <v/>
      </c>
      <c r="O17" s="59" t="n">
        <f aca="false">IFERROR(D17/100*I17,0)</f>
        <v>0</v>
      </c>
      <c r="P17" s="60" t="n">
        <f aca="false">IFERROR(D17/100*J17,0)</f>
        <v>0</v>
      </c>
      <c r="Q17" s="60" t="n">
        <f aca="false">IFERROR(D17/100*K17,0)</f>
        <v>0</v>
      </c>
      <c r="R17" s="58" t="n">
        <f aca="false">IFERROR(D17/100*N17,0)</f>
        <v>0</v>
      </c>
      <c r="S17" s="61" t="n">
        <f aca="false">IFERROR(D17*10,0)</f>
        <v>0</v>
      </c>
    </row>
    <row r="18" customFormat="false" ht="15" hidden="false" customHeight="true" outlineLevel="0" collapsed="false">
      <c r="A18" s="49" t="n">
        <v>12</v>
      </c>
      <c r="B18" s="50"/>
      <c r="C18" s="38"/>
      <c r="D18" s="51"/>
      <c r="E18" s="52" t="n">
        <f aca="false">IFERROR(VLOOKUP($B$4&amp;"_"&amp;IF($F$4&lt;&gt;"",$F$4,$D$4)&amp;"_12",가이드배합비DB!$A:$G,4,FALSE()),"")</f>
        <v>0</v>
      </c>
      <c r="F18" s="53" t="n">
        <f aca="false">IFERROR(VLOOKUP($B$4&amp;"_"&amp;IF($F$4&lt;&gt;"",$F$4,$D$4)&amp;"_12",가이드배합비DB!$A:$G,5,FALSE()),"")</f>
        <v>0</v>
      </c>
      <c r="G18" s="54" t="n">
        <f aca="false">IFERROR(VLOOKUP($B$4&amp;"_"&amp;IF($F$4&lt;&gt;"",$F$4,$D$4)&amp;"_12",가이드배합비DB!$A:$G,6,FALSE()),"")</f>
        <v>0</v>
      </c>
      <c r="H18" s="55" t="n">
        <f aca="false">IFERROR(VLOOKUP($B$4&amp;"_"&amp;IF($F$4&lt;&gt;"",$F$4,$D$4)&amp;"_12",가이드배합비DB!$A:$G,7,FALSE()),"")</f>
        <v>0</v>
      </c>
      <c r="I18" s="56" t="str">
        <f aca="false">IFERROR(VLOOKUP(C18,원료DB!$D:$Q,2,FALSE()),"")</f>
        <v/>
      </c>
      <c r="J18" s="56" t="str">
        <f aca="false">IFERROR(VLOOKUP(C18,원료DB!$D:$Q,4,FALSE()),"")</f>
        <v/>
      </c>
      <c r="K18" s="56" t="str">
        <f aca="false">IFERROR(VLOOKUP(C18,원료DB!$D:$Q,5,FALSE()),"")</f>
        <v/>
      </c>
      <c r="L18" s="57"/>
      <c r="M18" s="57"/>
      <c r="N18" s="58" t="str">
        <f aca="false">IFERROR(VLOOKUP(C18,원료DB!$D:$Q,9,FALSE()),"")</f>
        <v/>
      </c>
      <c r="O18" s="59" t="n">
        <f aca="false">IFERROR(D18/100*I18,0)</f>
        <v>0</v>
      </c>
      <c r="P18" s="60" t="n">
        <f aca="false">IFERROR(D18/100*J18,0)</f>
        <v>0</v>
      </c>
      <c r="Q18" s="60" t="n">
        <f aca="false">IFERROR(D18/100*K18,0)</f>
        <v>0</v>
      </c>
      <c r="R18" s="58" t="n">
        <f aca="false">IFERROR(D18/100*N18,0)</f>
        <v>0</v>
      </c>
      <c r="S18" s="61" t="n">
        <f aca="false">IFERROR(D18*10,0)</f>
        <v>0</v>
      </c>
    </row>
    <row r="19" customFormat="false" ht="15" hidden="false" customHeight="true" outlineLevel="0" collapsed="false">
      <c r="A19" s="49" t="n">
        <v>13</v>
      </c>
      <c r="B19" s="50" t="s">
        <v>1953</v>
      </c>
      <c r="C19" s="38" t="s">
        <v>1137</v>
      </c>
      <c r="D19" s="51" t="n">
        <v>0.15</v>
      </c>
      <c r="E19" s="52" t="str">
        <f aca="false">IFERROR(VLOOKUP($B$4&amp;"_"&amp;IF($F$4&lt;&gt;"",$F$4,$D$4)&amp;"_13",가이드배합비DB!$A:$G,4,FALSE()),"")</f>
        <v>구연산(무수)</v>
      </c>
      <c r="F19" s="53" t="n">
        <f aca="false">IFERROR(VLOOKUP($B$4&amp;"_"&amp;IF($F$4&lt;&gt;"",$F$4,$D$4)&amp;"_13",가이드배합비DB!$A:$G,5,FALSE()),"")</f>
        <v>0.15</v>
      </c>
      <c r="G19" s="54" t="str">
        <f aca="false">IFERROR(VLOOKUP($B$4&amp;"_"&amp;IF($F$4&lt;&gt;"",$F$4,$D$4)&amp;"_13",가이드배합비DB!$A:$G,6,FALSE()),"")</f>
        <v>구연산(무수)</v>
      </c>
      <c r="H19" s="55" t="n">
        <f aca="false">IFERROR(VLOOKUP($B$4&amp;"_"&amp;IF($F$4&lt;&gt;"",$F$4,$D$4)&amp;"_13",가이드배합비DB!$A:$G,7,FALSE()),"")</f>
        <v>0.16</v>
      </c>
      <c r="I19" s="56" t="str">
        <f aca="false">IFERROR(VLOOKUP(C19,원료DB!$D:$Q,2,FALSE()),"")</f>
        <v>—</v>
      </c>
      <c r="J19" s="56" t="str">
        <f aca="false">IFERROR(VLOOKUP(C19,원료DB!$D:$Q,4,FALSE()),"")</f>
        <v>—</v>
      </c>
      <c r="K19" s="56" t="n">
        <f aca="false">IFERROR(VLOOKUP(C19,원료DB!$D:$Q,5,FALSE()),"")</f>
        <v>0</v>
      </c>
      <c r="L19" s="57"/>
      <c r="M19" s="57"/>
      <c r="N19" s="58" t="n">
        <f aca="false">IFERROR(VLOOKUP(C19,원료DB!$D:$Q,9,FALSE()),"")</f>
        <v>2500</v>
      </c>
      <c r="O19" s="59" t="n">
        <f aca="false">IFERROR(D19/100*I19,0)</f>
        <v>0</v>
      </c>
      <c r="P19" s="60" t="n">
        <f aca="false">IFERROR(D19/100*J19,0)</f>
        <v>0</v>
      </c>
      <c r="Q19" s="60" t="n">
        <f aca="false">IFERROR(D19/100*K19,0)</f>
        <v>0</v>
      </c>
      <c r="R19" s="58" t="n">
        <f aca="false">IFERROR(D19/100*N19,0)</f>
        <v>3.75</v>
      </c>
      <c r="S19" s="61" t="n">
        <f aca="false">IFERROR(D19*10,0)</f>
        <v>1.5</v>
      </c>
    </row>
    <row r="20" customFormat="false" ht="15" hidden="false" customHeight="true" outlineLevel="0" collapsed="false">
      <c r="A20" s="49" t="n">
        <v>14</v>
      </c>
      <c r="B20" s="50"/>
      <c r="C20" s="38" t="s">
        <v>1232</v>
      </c>
      <c r="D20" s="51" t="n">
        <v>0.1</v>
      </c>
      <c r="E20" s="52" t="str">
        <f aca="false">IFERROR(VLOOKUP($B$4&amp;"_"&amp;IF($F$4&lt;&gt;"",$F$4,$D$4)&amp;"_14",가이드배합비DB!$A:$G,4,FALSE()),"")</f>
        <v>사과향</v>
      </c>
      <c r="F20" s="53" t="n">
        <f aca="false">IFERROR(VLOOKUP($B$4&amp;"_"&amp;IF($F$4&lt;&gt;"",$F$4,$D$4)&amp;"_14",가이드배합비DB!$A:$G,5,FALSE()),"")</f>
        <v>0.1</v>
      </c>
      <c r="G20" s="54" t="str">
        <f aca="false">IFERROR(VLOOKUP($B$4&amp;"_"&amp;IF($F$4&lt;&gt;"",$F$4,$D$4)&amp;"_14",가이드배합비DB!$A:$G,6,FALSE()),"")</f>
        <v>니코틴산아미드</v>
      </c>
      <c r="H20" s="55" t="n">
        <f aca="false">IFERROR(VLOOKUP($B$4&amp;"_"&amp;IF($F$4&lt;&gt;"",$F$4,$D$4)&amp;"_14",가이드배합비DB!$A:$G,7,FALSE()),"")</f>
        <v>0.003</v>
      </c>
      <c r="I20" s="56" t="str">
        <f aca="false">IFERROR(VLOOKUP(C20,원료DB!$D:$Q,2,FALSE()),"")</f>
        <v>—</v>
      </c>
      <c r="J20" s="56" t="str">
        <f aca="false">IFERROR(VLOOKUP(C20,원료DB!$D:$Q,4,FALSE()),"")</f>
        <v>—</v>
      </c>
      <c r="K20" s="56" t="n">
        <f aca="false">IFERROR(VLOOKUP(C20,원료DB!$D:$Q,5,FALSE()),"")</f>
        <v>0</v>
      </c>
      <c r="L20" s="57"/>
      <c r="M20" s="57"/>
      <c r="N20" s="58" t="n">
        <f aca="false">IFERROR(VLOOKUP(C20,원료DB!$D:$Q,9,FALSE()),"")</f>
        <v>40000</v>
      </c>
      <c r="O20" s="59" t="n">
        <f aca="false">IFERROR(D20/100*I20,0)</f>
        <v>0</v>
      </c>
      <c r="P20" s="60" t="n">
        <f aca="false">IFERROR(D20/100*J20,0)</f>
        <v>0</v>
      </c>
      <c r="Q20" s="60" t="n">
        <f aca="false">IFERROR(D20/100*K20,0)</f>
        <v>0</v>
      </c>
      <c r="R20" s="58" t="n">
        <f aca="false">IFERROR(D20/100*N20,0)</f>
        <v>40</v>
      </c>
      <c r="S20" s="61" t="n">
        <f aca="false">IFERROR(D20*10,0)</f>
        <v>1</v>
      </c>
    </row>
    <row r="21" customFormat="false" ht="15" hidden="false" customHeight="true" outlineLevel="0" collapsed="false">
      <c r="A21" s="49" t="n">
        <v>15</v>
      </c>
      <c r="B21" s="50"/>
      <c r="C21" s="38" t="s">
        <v>1179</v>
      </c>
      <c r="D21" s="51" t="n">
        <v>0.05</v>
      </c>
      <c r="E21" s="52" t="str">
        <f aca="false">IFERROR(VLOOKUP($B$4&amp;"_"&amp;IF($F$4&lt;&gt;"",$F$4,$D$4)&amp;"_15",가이드배합비DB!$A:$G,4,FALSE()),"")</f>
        <v>아스코르빈산(비타민C)</v>
      </c>
      <c r="F21" s="53" t="n">
        <f aca="false">IFERROR(VLOOKUP($B$4&amp;"_"&amp;IF($F$4&lt;&gt;"",$F$4,$D$4)&amp;"_15",가이드배합비DB!$A:$G,5,FALSE()),"")</f>
        <v>0.05</v>
      </c>
      <c r="G21" s="54" t="str">
        <f aca="false">IFERROR(VLOOKUP($B$4&amp;"_"&amp;IF($F$4&lt;&gt;"",$F$4,$D$4)&amp;"_15",가이드배합비DB!$A:$G,6,FALSE()),"")</f>
        <v>아스코르빈산(비타민C)</v>
      </c>
      <c r="H21" s="55" t="n">
        <f aca="false">IFERROR(VLOOKUP($B$4&amp;"_"&amp;IF($F$4&lt;&gt;"",$F$4,$D$4)&amp;"_15",가이드배합비DB!$A:$G,7,FALSE()),"")</f>
        <v>0.04</v>
      </c>
      <c r="I21" s="56" t="str">
        <f aca="false">IFERROR(VLOOKUP(C21,원료DB!$D:$Q,2,FALSE()),"")</f>
        <v>—</v>
      </c>
      <c r="J21" s="56" t="str">
        <f aca="false">IFERROR(VLOOKUP(C21,원료DB!$D:$Q,4,FALSE()),"")</f>
        <v>—</v>
      </c>
      <c r="K21" s="56" t="n">
        <f aca="false">IFERROR(VLOOKUP(C21,원료DB!$D:$Q,5,FALSE()),"")</f>
        <v>0</v>
      </c>
      <c r="L21" s="57"/>
      <c r="M21" s="57"/>
      <c r="N21" s="58" t="n">
        <f aca="false">IFERROR(VLOOKUP(C21,원료DB!$D:$Q,9,FALSE()),"")</f>
        <v>12000</v>
      </c>
      <c r="O21" s="59" t="n">
        <f aca="false">IFERROR(D21/100*I21,0)</f>
        <v>0</v>
      </c>
      <c r="P21" s="60" t="n">
        <f aca="false">IFERROR(D21/100*J21,0)</f>
        <v>0</v>
      </c>
      <c r="Q21" s="60" t="n">
        <f aca="false">IFERROR(D21/100*K21,0)</f>
        <v>0</v>
      </c>
      <c r="R21" s="58" t="n">
        <f aca="false">IFERROR(D21/100*N21,0)</f>
        <v>6</v>
      </c>
      <c r="S21" s="61" t="n">
        <f aca="false">IFERROR(D21*10,0)</f>
        <v>0.5</v>
      </c>
    </row>
    <row r="22" customFormat="false" ht="15" hidden="false" customHeight="true" outlineLevel="0" collapsed="false">
      <c r="A22" s="49" t="n">
        <v>16</v>
      </c>
      <c r="B22" s="50"/>
      <c r="C22" s="38" t="s">
        <v>1265</v>
      </c>
      <c r="D22" s="51" t="n">
        <v>0.02</v>
      </c>
      <c r="E22" s="52" t="str">
        <f aca="false">IFERROR(VLOOKUP($B$4&amp;"_"&amp;IF($F$4&lt;&gt;"",$F$4,$D$4)&amp;"_16",가이드배합비DB!$A:$G,4,FALSE()),"")</f>
        <v>베타카로틴(합성)</v>
      </c>
      <c r="F22" s="53" t="n">
        <f aca="false">IFERROR(VLOOKUP($B$4&amp;"_"&amp;IF($F$4&lt;&gt;"",$F$4,$D$4)&amp;"_16",가이드배합비DB!$A:$G,5,FALSE()),"")</f>
        <v>0.02</v>
      </c>
      <c r="G22" s="54" t="n">
        <f aca="false">IFERROR(VLOOKUP($B$4&amp;"_"&amp;IF($F$4&lt;&gt;"",$F$4,$D$4)&amp;"_16",가이드배합비DB!$A:$G,6,FALSE()),"")</f>
        <v>0</v>
      </c>
      <c r="H22" s="55" t="n">
        <f aca="false">IFERROR(VLOOKUP($B$4&amp;"_"&amp;IF($F$4&lt;&gt;"",$F$4,$D$4)&amp;"_16",가이드배합비DB!$A:$G,7,FALSE()),"")</f>
        <v>0</v>
      </c>
      <c r="I22" s="56" t="str">
        <f aca="false">IFERROR(VLOOKUP(C22,원료DB!$D:$Q,2,FALSE()),"")</f>
        <v>—</v>
      </c>
      <c r="J22" s="56" t="str">
        <f aca="false">IFERROR(VLOOKUP(C22,원료DB!$D:$Q,4,FALSE()),"")</f>
        <v>—</v>
      </c>
      <c r="K22" s="56" t="n">
        <f aca="false">IFERROR(VLOOKUP(C22,원료DB!$D:$Q,5,FALSE()),"")</f>
        <v>0</v>
      </c>
      <c r="L22" s="57"/>
      <c r="M22" s="57"/>
      <c r="N22" s="58" t="n">
        <f aca="false">IFERROR(VLOOKUP(C22,원료DB!$D:$Q,9,FALSE()),"")</f>
        <v>25000</v>
      </c>
      <c r="O22" s="59" t="n">
        <f aca="false">IFERROR(D22/100*I22,0)</f>
        <v>0</v>
      </c>
      <c r="P22" s="60" t="n">
        <f aca="false">IFERROR(D22/100*J22,0)</f>
        <v>0</v>
      </c>
      <c r="Q22" s="60" t="n">
        <f aca="false">IFERROR(D22/100*K22,0)</f>
        <v>0</v>
      </c>
      <c r="R22" s="58" t="n">
        <f aca="false">IFERROR(D22/100*N22,0)</f>
        <v>5</v>
      </c>
      <c r="S22" s="61" t="n">
        <f aca="false">IFERROR(D22*10,0)</f>
        <v>0.2</v>
      </c>
    </row>
    <row r="23" customFormat="false" ht="15" hidden="false" customHeight="true" outlineLevel="0" collapsed="false">
      <c r="A23" s="49" t="n">
        <v>17</v>
      </c>
      <c r="B23" s="50"/>
      <c r="C23" s="38"/>
      <c r="D23" s="51"/>
      <c r="E23" s="52" t="n">
        <f aca="false">IFERROR(VLOOKUP($B$4&amp;"_"&amp;IF($F$4&lt;&gt;"",$F$4,$D$4)&amp;"_17",가이드배합비DB!$A:$G,4,FALSE()),"")</f>
        <v>0</v>
      </c>
      <c r="F23" s="53" t="n">
        <f aca="false">IFERROR(VLOOKUP($B$4&amp;"_"&amp;IF($F$4&lt;&gt;"",$F$4,$D$4)&amp;"_17",가이드배합비DB!$A:$G,5,FALSE()),"")</f>
        <v>0</v>
      </c>
      <c r="G23" s="54" t="n">
        <f aca="false">IFERROR(VLOOKUP($B$4&amp;"_"&amp;IF($F$4&lt;&gt;"",$F$4,$D$4)&amp;"_17",가이드배합비DB!$A:$G,6,FALSE()),"")</f>
        <v>0</v>
      </c>
      <c r="H23" s="55" t="n">
        <f aca="false">IFERROR(VLOOKUP($B$4&amp;"_"&amp;IF($F$4&lt;&gt;"",$F$4,$D$4)&amp;"_17",가이드배합비DB!$A:$G,7,FALSE()),"")</f>
        <v>0</v>
      </c>
      <c r="I23" s="56" t="str">
        <f aca="false">IFERROR(VLOOKUP(C23,원료DB!$D:$Q,2,FALSE()),"")</f>
        <v/>
      </c>
      <c r="J23" s="56" t="str">
        <f aca="false">IFERROR(VLOOKUP(C23,원료DB!$D:$Q,4,FALSE()),"")</f>
        <v/>
      </c>
      <c r="K23" s="56" t="str">
        <f aca="false">IFERROR(VLOOKUP(C23,원료DB!$D:$Q,5,FALSE()),"")</f>
        <v/>
      </c>
      <c r="L23" s="57"/>
      <c r="M23" s="57"/>
      <c r="N23" s="58" t="str">
        <f aca="false">IFERROR(VLOOKUP(C23,원료DB!$D:$Q,9,FALSE()),"")</f>
        <v/>
      </c>
      <c r="O23" s="59" t="n">
        <f aca="false">IFERROR(D23/100*I23,0)</f>
        <v>0</v>
      </c>
      <c r="P23" s="60" t="n">
        <f aca="false">IFERROR(D23/100*J23,0)</f>
        <v>0</v>
      </c>
      <c r="Q23" s="60" t="n">
        <f aca="false">IFERROR(D23/100*K23,0)</f>
        <v>0</v>
      </c>
      <c r="R23" s="58" t="n">
        <f aca="false">IFERROR(D23/100*N23,0)</f>
        <v>0</v>
      </c>
      <c r="S23" s="61" t="n">
        <f aca="false">IFERROR(D23*10,0)</f>
        <v>0</v>
      </c>
    </row>
    <row r="24" customFormat="false" ht="15" hidden="false" customHeight="true" outlineLevel="0" collapsed="false">
      <c r="A24" s="49" t="n">
        <v>18</v>
      </c>
      <c r="B24" s="50"/>
      <c r="C24" s="38"/>
      <c r="D24" s="51"/>
      <c r="E24" s="52" t="n">
        <f aca="false">IFERROR(VLOOKUP($B$4&amp;"_"&amp;IF($F$4&lt;&gt;"",$F$4,$D$4)&amp;"_18",가이드배합비DB!$A:$G,4,FALSE()),"")</f>
        <v>0</v>
      </c>
      <c r="F24" s="53" t="n">
        <f aca="false">IFERROR(VLOOKUP($B$4&amp;"_"&amp;IF($F$4&lt;&gt;"",$F$4,$D$4)&amp;"_18",가이드배합비DB!$A:$G,5,FALSE()),"")</f>
        <v>0</v>
      </c>
      <c r="G24" s="54" t="n">
        <f aca="false">IFERROR(VLOOKUP($B$4&amp;"_"&amp;IF($F$4&lt;&gt;"",$F$4,$D$4)&amp;"_18",가이드배합비DB!$A:$G,6,FALSE()),"")</f>
        <v>0</v>
      </c>
      <c r="H24" s="55" t="n">
        <f aca="false">IFERROR(VLOOKUP($B$4&amp;"_"&amp;IF($F$4&lt;&gt;"",$F$4,$D$4)&amp;"_18",가이드배합비DB!$A:$G,7,FALSE()),"")</f>
        <v>0</v>
      </c>
      <c r="I24" s="56" t="str">
        <f aca="false">IFERROR(VLOOKUP(C24,원료DB!$D:$Q,2,FALSE()),"")</f>
        <v/>
      </c>
      <c r="J24" s="56" t="str">
        <f aca="false">IFERROR(VLOOKUP(C24,원료DB!$D:$Q,4,FALSE()),"")</f>
        <v/>
      </c>
      <c r="K24" s="56" t="str">
        <f aca="false">IFERROR(VLOOKUP(C24,원료DB!$D:$Q,5,FALSE()),"")</f>
        <v/>
      </c>
      <c r="L24" s="57"/>
      <c r="M24" s="57"/>
      <c r="N24" s="58" t="str">
        <f aca="false">IFERROR(VLOOKUP(C24,원료DB!$D:$Q,9,FALSE()),"")</f>
        <v/>
      </c>
      <c r="O24" s="59" t="n">
        <f aca="false">IFERROR(D24/100*I24,0)</f>
        <v>0</v>
      </c>
      <c r="P24" s="60" t="n">
        <f aca="false">IFERROR(D24/100*J24,0)</f>
        <v>0</v>
      </c>
      <c r="Q24" s="60" t="n">
        <f aca="false">IFERROR(D24/100*K24,0)</f>
        <v>0</v>
      </c>
      <c r="R24" s="58" t="n">
        <f aca="false">IFERROR(D24/100*N24,0)</f>
        <v>0</v>
      </c>
      <c r="S24" s="61" t="n">
        <f aca="false">IFERROR(D24*10,0)</f>
        <v>0</v>
      </c>
    </row>
    <row r="25" customFormat="false" ht="15" hidden="false" customHeight="true" outlineLevel="0" collapsed="false">
      <c r="A25" s="49" t="n">
        <v>19</v>
      </c>
      <c r="B25" s="50"/>
      <c r="C25" s="38"/>
      <c r="D25" s="51"/>
      <c r="E25" s="52" t="n">
        <f aca="false">IFERROR(VLOOKUP($B$4&amp;"_"&amp;IF($F$4&lt;&gt;"",$F$4,$D$4)&amp;"_19",가이드배합비DB!$A:$G,4,FALSE()),"")</f>
        <v>0</v>
      </c>
      <c r="F25" s="53" t="n">
        <f aca="false">IFERROR(VLOOKUP($B$4&amp;"_"&amp;IF($F$4&lt;&gt;"",$F$4,$D$4)&amp;"_19",가이드배합비DB!$A:$G,5,FALSE()),"")</f>
        <v>0</v>
      </c>
      <c r="G25" s="54" t="n">
        <f aca="false">IFERROR(VLOOKUP($B$4&amp;"_"&amp;IF($F$4&lt;&gt;"",$F$4,$D$4)&amp;"_19",가이드배합비DB!$A:$G,6,FALSE()),"")</f>
        <v>0</v>
      </c>
      <c r="H25" s="55" t="n">
        <f aca="false">IFERROR(VLOOKUP($B$4&amp;"_"&amp;IF($F$4&lt;&gt;"",$F$4,$D$4)&amp;"_19",가이드배합비DB!$A:$G,7,FALSE()),"")</f>
        <v>0</v>
      </c>
      <c r="I25" s="56" t="str">
        <f aca="false">IFERROR(VLOOKUP(C25,원료DB!$D:$Q,2,FALSE()),"")</f>
        <v/>
      </c>
      <c r="J25" s="56" t="str">
        <f aca="false">IFERROR(VLOOKUP(C25,원료DB!$D:$Q,4,FALSE()),"")</f>
        <v/>
      </c>
      <c r="K25" s="56" t="str">
        <f aca="false">IFERROR(VLOOKUP(C25,원료DB!$D:$Q,5,FALSE()),"")</f>
        <v/>
      </c>
      <c r="L25" s="57"/>
      <c r="M25" s="57"/>
      <c r="N25" s="58" t="str">
        <f aca="false">IFERROR(VLOOKUP(C25,원료DB!$D:$Q,9,FALSE()),"")</f>
        <v/>
      </c>
      <c r="O25" s="59" t="n">
        <f aca="false">IFERROR(D25/100*I25,0)</f>
        <v>0</v>
      </c>
      <c r="P25" s="60" t="n">
        <f aca="false">IFERROR(D25/100*J25,0)</f>
        <v>0</v>
      </c>
      <c r="Q25" s="60" t="n">
        <f aca="false">IFERROR(D25/100*K25,0)</f>
        <v>0</v>
      </c>
      <c r="R25" s="58" t="n">
        <f aca="false">IFERROR(D25/100*N25,0)</f>
        <v>0</v>
      </c>
      <c r="S25" s="61" t="n">
        <f aca="false">IFERROR(D25*10,0)</f>
        <v>0</v>
      </c>
    </row>
    <row r="26" customFormat="false" ht="15" hidden="false" customHeight="true" outlineLevel="0" collapsed="false">
      <c r="A26" s="49" t="n">
        <v>20</v>
      </c>
      <c r="B26" s="62" t="s">
        <v>1328</v>
      </c>
      <c r="C26" s="63" t="s">
        <v>1328</v>
      </c>
      <c r="D26" s="64" t="n">
        <f aca="false">100-SUM(D7:D25)</f>
        <v>77.53</v>
      </c>
      <c r="E26" s="52" t="s">
        <v>1328</v>
      </c>
      <c r="F26" s="53" t="n">
        <f aca="false">IFERROR(VLOOKUP($B$4&amp;"_"&amp;IF($F$4&lt;&gt;"",$F$4,$D$4)&amp;"_20",가이드배합비DB!$A:$G,5,FALSE()),"")</f>
        <v>77.53</v>
      </c>
      <c r="G26" s="54" t="s">
        <v>1328</v>
      </c>
      <c r="H26" s="55" t="n">
        <f aca="false">IFERROR(VLOOKUP($B$4&amp;"_"&amp;IF($F$4&lt;&gt;"",$F$4,$D$4)&amp;"_20",가이드배합비DB!$A:$G,7,FALSE()),"")</f>
        <v>75.15</v>
      </c>
      <c r="I26" s="56" t="n">
        <v>0</v>
      </c>
      <c r="J26" s="56" t="n">
        <v>0</v>
      </c>
      <c r="K26" s="56" t="n">
        <v>0</v>
      </c>
      <c r="N26" s="58" t="n">
        <v>2</v>
      </c>
      <c r="O26" s="56" t="n">
        <v>0</v>
      </c>
      <c r="P26" s="56" t="n">
        <v>0</v>
      </c>
      <c r="Q26" s="56" t="n">
        <v>0</v>
      </c>
      <c r="R26" s="58" t="n">
        <f aca="false">D26/100*N26</f>
        <v>1.5506</v>
      </c>
      <c r="S26" s="61" t="n">
        <f aca="false">D26*10</f>
        <v>775.3</v>
      </c>
    </row>
    <row r="27" customFormat="false" ht="16.5" hidden="false" customHeight="true" outlineLevel="0" collapsed="false">
      <c r="A27" s="65" t="s">
        <v>1954</v>
      </c>
      <c r="B27" s="65"/>
      <c r="C27" s="65"/>
      <c r="D27" s="66" t="n">
        <f aca="false">SUM(D7:D26)</f>
        <v>100</v>
      </c>
      <c r="E27" s="67"/>
      <c r="F27" s="68" t="n">
        <f aca="false">SUM(F7:F26)</f>
        <v>100</v>
      </c>
      <c r="G27" s="67"/>
      <c r="H27" s="68" t="n">
        <f aca="false">SUM(H7:H26)</f>
        <v>100.003</v>
      </c>
      <c r="I27" s="67"/>
      <c r="J27" s="67"/>
      <c r="K27" s="67"/>
      <c r="L27" s="67"/>
      <c r="M27" s="67"/>
      <c r="N27" s="67"/>
      <c r="O27" s="68" t="n">
        <f aca="false">SUM(O7:O26)</f>
        <v>13.188</v>
      </c>
      <c r="P27" s="66" t="n">
        <f aca="false">SUM(P7:P26)</f>
        <v>0.2925</v>
      </c>
      <c r="Q27" s="66" t="n">
        <f aca="false">SUM(Q7:Q26)</f>
        <v>0.09</v>
      </c>
      <c r="R27" s="69" t="n">
        <f aca="false">SUM(R7:R26)</f>
        <v>500.3006</v>
      </c>
      <c r="S27" s="70" t="n">
        <f aca="false">SUM(S7:S26)</f>
        <v>1000</v>
      </c>
    </row>
    <row r="28" customFormat="false" ht="15" hidden="false" customHeight="true" outlineLevel="0" collapsed="false">
      <c r="C28" s="71" t="s">
        <v>1955</v>
      </c>
      <c r="D28" s="72" t="n">
        <f aca="false">SUM(D7:D10)/100</f>
        <v>0.13</v>
      </c>
      <c r="N28" s="71" t="s">
        <v>1956</v>
      </c>
      <c r="O28" s="73" t="n">
        <f aca="false">IF(O5&gt;0,O27/O5,"")</f>
        <v>1.19890909090909</v>
      </c>
    </row>
    <row r="30" customFormat="false" ht="15" hidden="false" customHeight="true" outlineLevel="0" collapsed="false">
      <c r="A30" s="74" t="s">
        <v>1957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</row>
    <row r="31" customFormat="false" ht="15" hidden="false" customHeight="true" outlineLevel="0" collapsed="false">
      <c r="A31" s="75" t="s">
        <v>1958</v>
      </c>
      <c r="B31" s="75"/>
      <c r="C31" s="75"/>
      <c r="D31" s="76" t="n">
        <f aca="false">D27</f>
        <v>100</v>
      </c>
      <c r="E31" s="77" t="str">
        <f aca="false">IF(ABS(D27-100)&lt;0.1,"✅ 100% 충족","⚠️ "&amp;ROUND(D27,1)&amp;"% - 조정필요")</f>
        <v>✅ 100% 충족</v>
      </c>
      <c r="F31" s="77"/>
      <c r="G31" s="77"/>
      <c r="H31" s="77"/>
      <c r="I31" s="77"/>
      <c r="J31" s="77"/>
    </row>
    <row r="32" customFormat="false" ht="15" hidden="false" customHeight="true" outlineLevel="0" collapsed="false">
      <c r="A32" s="75" t="s">
        <v>1959</v>
      </c>
      <c r="B32" s="75"/>
      <c r="C32" s="75"/>
      <c r="D32" s="78" t="n">
        <f aca="false">O27</f>
        <v>13.188</v>
      </c>
      <c r="E32" s="77" t="str">
        <f aca="false">IFERROR(IF(VLOOKUP($B$4,음료규격기준!$B:$O,9,FALSE())="","ℹ️ 규격없음",IF(AND(D32&gt;=VLOOKUP($B$4,음료규격기준!$B:$O,9,FALSE()),D32&lt;=VLOOKUP($B$4,음료규격기준!$B:$O,10,FALSE())),"✅ 규격이내("&amp;VLOOKUP($B$4,음료규격기준!$B:$I,2,FALSE())&amp;"°)",IF(D32&lt;VLOOKUP($B$4,음료규격기준!$B:$O,9,FALSE()),"⚠️ 하한미달("&amp;VLOOKUP($B$4,음료규격기준!$B:$I,2,FALSE())&amp;"°)","⚠️ 상한초과("&amp;VLOOKUP($B$4,음료규격기준!$B:$I,2,FALSE())&amp;"°)"))),"ℹ️ 참조불가")</f>
        <v>⚠️ 상한초과(8~13°)</v>
      </c>
      <c r="F32" s="77"/>
      <c r="G32" s="77"/>
      <c r="H32" s="77"/>
      <c r="I32" s="77"/>
      <c r="J32" s="77"/>
    </row>
    <row r="33" customFormat="false" ht="15" hidden="false" customHeight="true" outlineLevel="0" collapsed="false">
      <c r="A33" s="75" t="s">
        <v>1960</v>
      </c>
      <c r="B33" s="75"/>
      <c r="C33" s="75"/>
      <c r="D33" s="76" t="n">
        <f aca="false">P27</f>
        <v>0.2925</v>
      </c>
      <c r="E33" s="77" t="str">
        <f aca="false">IFERROR(IF(VLOOKUP($B$4,음료규격기준!$B:$O,13,FALSE())="","ℹ️ 산도규격없음",IF(AND(D33&gt;=VLOOKUP($B$4,음료규격기준!$B:$O,13,FALSE()),D33&lt;=VLOOKUP($B$4,음료규격기준!$B:$O,14,FALSE())),"✅ 규격이내("&amp;VLOOKUP($B$4,음료규격기준!$B:$I,4,FALSE())&amp;"%)","⚠️ 규격벗어남("&amp;VLOOKUP($B$4,음료규격기준!$B:$I,4,FALSE())&amp;"%)")),"ℹ️ 산도규격없음")</f>
        <v>✅ 규격이내(0.2~1.0%)</v>
      </c>
      <c r="F33" s="77"/>
      <c r="G33" s="77"/>
      <c r="H33" s="77"/>
      <c r="I33" s="77"/>
      <c r="J33" s="77"/>
    </row>
    <row r="34" customFormat="false" ht="15" hidden="false" customHeight="true" outlineLevel="0" collapsed="false">
      <c r="A34" s="75" t="s">
        <v>1961</v>
      </c>
      <c r="B34" s="75"/>
      <c r="C34" s="75"/>
      <c r="D34" s="76" t="n">
        <f aca="false">Q27</f>
        <v>0.09</v>
      </c>
    </row>
    <row r="35" customFormat="false" ht="15" hidden="false" customHeight="true" outlineLevel="0" collapsed="false">
      <c r="A35" s="75" t="s">
        <v>1962</v>
      </c>
      <c r="B35" s="75"/>
      <c r="C35" s="75"/>
      <c r="D35" s="79" t="n">
        <f aca="false">R27</f>
        <v>500.3006</v>
      </c>
      <c r="E35" s="77" t="str">
        <f aca="false">IF(R5&gt;0,IF(R27&lt;=R5,"✅ 목표이내","⚠️ 목표("&amp;TEXT(R5,"#,##0")&amp;"원) 초과 +"&amp;TEXT(R27-R5,"#,##0")&amp;"원"),"")</f>
        <v>✅ 목표이내</v>
      </c>
      <c r="F35" s="77"/>
      <c r="G35" s="77"/>
      <c r="H35" s="77"/>
      <c r="I35" s="77"/>
      <c r="J35" s="77"/>
    </row>
    <row r="36" customFormat="false" ht="15" hidden="false" customHeight="true" outlineLevel="0" collapsed="false">
      <c r="A36" s="75" t="s">
        <v>1963</v>
      </c>
      <c r="B36" s="75"/>
      <c r="C36" s="75"/>
      <c r="D36" s="79" t="n">
        <f aca="false">R27*J3/1000</f>
        <v>500.3006</v>
      </c>
    </row>
    <row r="37" customFormat="false" ht="15" hidden="false" customHeight="true" outlineLevel="0" collapsed="false">
      <c r="A37" s="75" t="s">
        <v>1964</v>
      </c>
      <c r="B37" s="75"/>
      <c r="C37" s="75"/>
      <c r="D37" s="80" t="n">
        <f aca="false">COUNTA(C7:C26)</f>
        <v>10</v>
      </c>
    </row>
    <row r="38" customFormat="false" ht="15" hidden="false" customHeight="true" outlineLevel="0" collapsed="false">
      <c r="A38" s="75" t="s">
        <v>1965</v>
      </c>
      <c r="B38" s="75"/>
      <c r="C38" s="75"/>
      <c r="D38" s="81" t="n">
        <f aca="false">D26</f>
        <v>77.53</v>
      </c>
      <c r="E38" s="77" t="str">
        <f aca="false">IF(D26&gt;=50,"✅ 적정(50%이상)",IF(D26&gt;=30,"ℹ️ 보통","⚠️ 정제수 부족"))</f>
        <v>✅ 적정(50%이상)</v>
      </c>
      <c r="F38" s="77"/>
      <c r="G38" s="77"/>
      <c r="H38" s="77"/>
      <c r="I38" s="77"/>
      <c r="J38" s="77"/>
    </row>
    <row r="39" customFormat="false" ht="15" hidden="false" customHeight="true" outlineLevel="0" collapsed="false">
      <c r="A39" s="82" t="s">
        <v>1966</v>
      </c>
      <c r="B39" s="82"/>
      <c r="C39" s="82"/>
      <c r="D39" s="83" t="s">
        <v>110</v>
      </c>
      <c r="E39" s="77" t="str">
        <f aca="false">IFERROR("ℹ️ pH규격: "&amp;VLOOKUP($B$4,음료규격기준!$B:$I,3,FALSE())&amp;" → 실측 필요","")</f>
        <v>ℹ️ pH규격: 3.0~4.5 → 실측 필요</v>
      </c>
      <c r="F39" s="77"/>
      <c r="G39" s="77"/>
      <c r="H39" s="77"/>
      <c r="I39" s="77"/>
      <c r="J39" s="77"/>
    </row>
    <row r="40" customFormat="false" ht="15" hidden="false" customHeight="true" outlineLevel="0" collapsed="false">
      <c r="A40" s="75" t="s">
        <v>1967</v>
      </c>
      <c r="B40" s="75"/>
      <c r="C40" s="75"/>
      <c r="D40" s="84" t="n">
        <f aca="false">D28</f>
        <v>0.13</v>
      </c>
      <c r="E40" s="77" t="str">
        <f aca="false">IFERROR("ℹ️ 과즙기준: "&amp;VLOOKUP($B$4,음료규격기준!$B:$I,5,FALSE())&amp;" | 현재: "&amp;TEXT(D28*100,"0.0")&amp;"%","")</f>
        <v>ℹ️ 과즙기준: 10~99% | 현재: 13.0%</v>
      </c>
      <c r="F40" s="77"/>
      <c r="G40" s="77"/>
      <c r="H40" s="77"/>
      <c r="I40" s="77"/>
      <c r="J40" s="77"/>
    </row>
    <row r="42" customFormat="false" ht="15" hidden="false" customHeight="true" outlineLevel="0" collapsed="false">
      <c r="A42" s="85" t="s">
        <v>1968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</row>
    <row r="43" customFormat="false" ht="13.5" hidden="false" customHeight="true" outlineLevel="0" collapsed="false">
      <c r="A43" s="86" t="s">
        <v>1969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</row>
    <row r="44" customFormat="false" ht="13.5" hidden="false" customHeight="true" outlineLevel="0" collapsed="false">
      <c r="A44" s="86" t="s">
        <v>1970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</row>
    <row r="45" customFormat="false" ht="13.5" hidden="false" customHeight="true" outlineLevel="0" collapsed="false">
      <c r="A45" s="86" t="s">
        <v>1971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</row>
    <row r="46" customFormat="false" ht="13.5" hidden="false" customHeight="true" outlineLevel="0" collapsed="false">
      <c r="A46" s="86" t="s">
        <v>1972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</row>
    <row r="47" customFormat="false" ht="14.15" hidden="false" customHeight="false" outlineLevel="0" collapsed="false">
      <c r="A47" s="87" t="s">
        <v>1973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</row>
  </sheetData>
  <mergeCells count="32">
    <mergeCell ref="A1:S1"/>
    <mergeCell ref="A2:S2"/>
    <mergeCell ref="E5:K5"/>
    <mergeCell ref="B7:B10"/>
    <mergeCell ref="B11:B14"/>
    <mergeCell ref="B15:B18"/>
    <mergeCell ref="B19:B25"/>
    <mergeCell ref="A27:C27"/>
    <mergeCell ref="A30:S30"/>
    <mergeCell ref="A31:C31"/>
    <mergeCell ref="E31:J31"/>
    <mergeCell ref="A32:C32"/>
    <mergeCell ref="E32:J32"/>
    <mergeCell ref="A33:C33"/>
    <mergeCell ref="E33:J33"/>
    <mergeCell ref="A34:C34"/>
    <mergeCell ref="A35:C35"/>
    <mergeCell ref="E35:J35"/>
    <mergeCell ref="A36:C36"/>
    <mergeCell ref="A37:C37"/>
    <mergeCell ref="A38:C38"/>
    <mergeCell ref="E38:J38"/>
    <mergeCell ref="A39:C39"/>
    <mergeCell ref="E39:J39"/>
    <mergeCell ref="A40:C40"/>
    <mergeCell ref="E40:J40"/>
    <mergeCell ref="A42:S42"/>
    <mergeCell ref="A43:S43"/>
    <mergeCell ref="A44:S44"/>
    <mergeCell ref="A45:S45"/>
    <mergeCell ref="A46:S46"/>
    <mergeCell ref="A47:S47"/>
  </mergeCells>
  <conditionalFormatting sqref="B4">
    <cfRule type="expression" priority="2" aboveAverage="0" equalAverage="0" bottom="0" percent="0" rank="0" text="" dxfId="8">
      <formula>COUNTIF(가이드배합비DB!$A:$A,$B$4&amp;"_"&amp;IF($F$4&lt;&gt;"",$F$4,$D$4)&amp;"_1")&gt;0</formula>
    </cfRule>
  </conditionalFormatting>
  <conditionalFormatting sqref="D4">
    <cfRule type="expression" priority="3" aboveAverage="0" equalAverage="0" bottom="0" percent="0" rank="0" text="" dxfId="8">
      <formula>COUNTIF(가이드배합비DB!$A:$A,$B$4&amp;"_"&amp;IF($F$4&lt;&gt;"",$F$4,$D$4)&amp;"_1")&gt;0</formula>
    </cfRule>
  </conditionalFormatting>
  <conditionalFormatting sqref="F4">
    <cfRule type="expression" priority="4" aboveAverage="0" equalAverage="0" bottom="0" percent="0" rank="0" text="" dxfId="8">
      <formula>AND(LEN($F$4)&gt;0,COUNTIF(가이드배합비DB!$A:$A,$B$4&amp;"_"&amp;$F$4&amp;"_1")&gt;0)</formula>
    </cfRule>
    <cfRule type="expression" priority="5" aboveAverage="0" equalAverage="0" bottom="0" percent="0" rank="0" text="" dxfId="9">
      <formula>LEN($F$4)&gt;0</formula>
    </cfRule>
  </conditionalFormatting>
  <dataValidations count="4">
    <dataValidation allowBlank="false" errorStyle="stop" operator="between" promptTitle="음료유형" showDropDown="false" showErrorMessage="false" showInputMessage="false" sqref="B4" type="list">
      <formula1>음료규격기준!$B$2:$B$18</formula1>
      <formula2>0</formula2>
    </dataValidation>
    <dataValidation allowBlank="false" errorStyle="stop" operator="between" promptTitle="맛 선택" showDropDown="false" showErrorMessage="false" showInputMessage="false" sqref="D4" type="list">
      <formula1>"사과,딸기,포도,오렌지,복숭아,망고,레몬,자몽,블루베리,감귤"</formula1>
      <formula2>0</formula2>
    </dataValidation>
    <dataValidation allowBlank="true" error="원료DB에 등록된 원료명을 선택하세요" errorStyle="stop" errorTitle="원료명 오류" operator="between" showDropDown="false" showErrorMessage="false" showInputMessage="false" sqref="C7:C25" type="list">
      <formula1>원료DB!$D$2:$D$200</formula1>
      <formula2>0</formula2>
    </dataValidation>
    <dataValidation allowBlank="true" errorStyle="stop" operator="between" showDropDown="false" showErrorMessage="false" showInputMessage="false" sqref="L7:M25" type="list">
      <formula1>"*,**,*(부),**(주),"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7" min="4" style="1" width="14"/>
    <col collapsed="false" customWidth="true" hidden="false" outlineLevel="0" max="8" min="8" style="1" width="18"/>
  </cols>
  <sheetData>
    <row r="1" customFormat="false" ht="21" hidden="false" customHeight="true" outlineLevel="0" collapsed="false">
      <c r="A1" s="34" t="s">
        <v>1974</v>
      </c>
      <c r="B1" s="34"/>
      <c r="C1" s="34"/>
      <c r="D1" s="34"/>
      <c r="E1" s="34"/>
      <c r="F1" s="34"/>
      <c r="G1" s="34"/>
      <c r="H1" s="34"/>
    </row>
    <row r="3" customFormat="false" ht="15" hidden="false" customHeight="true" outlineLevel="0" collapsed="false">
      <c r="A3" s="36" t="s">
        <v>88</v>
      </c>
      <c r="B3" s="37" t="n">
        <f aca="false">배합시뮬레이터!E3</f>
        <v>0</v>
      </c>
      <c r="D3" s="36" t="s">
        <v>97</v>
      </c>
      <c r="E3" s="37" t="n">
        <f aca="false">배합시뮬레이터!J3</f>
        <v>1000</v>
      </c>
      <c r="G3" s="36" t="s">
        <v>1456</v>
      </c>
      <c r="H3" s="37" t="s">
        <v>1975</v>
      </c>
    </row>
    <row r="4" customFormat="false" ht="15" hidden="false" customHeight="true" outlineLevel="0" collapsed="false">
      <c r="A4" s="36" t="s">
        <v>1976</v>
      </c>
      <c r="B4" s="37" t="n">
        <v>100000</v>
      </c>
      <c r="D4" s="36" t="s">
        <v>1977</v>
      </c>
      <c r="E4" s="37" t="n">
        <f aca="false">B4*12</f>
        <v>1200000</v>
      </c>
      <c r="G4" s="36" t="s">
        <v>98</v>
      </c>
      <c r="H4" s="37" t="s">
        <v>111</v>
      </c>
    </row>
    <row r="6" customFormat="false" ht="16.5" hidden="false" customHeight="true" outlineLevel="0" collapsed="false">
      <c r="A6" s="88" t="s">
        <v>1978</v>
      </c>
      <c r="B6" s="88"/>
      <c r="C6" s="88"/>
      <c r="D6" s="88"/>
      <c r="E6" s="88"/>
      <c r="F6" s="88"/>
      <c r="G6" s="88"/>
      <c r="H6" s="88"/>
    </row>
    <row r="7" customFormat="false" ht="15" hidden="false" customHeight="true" outlineLevel="0" collapsed="false">
      <c r="A7" s="47" t="s">
        <v>0</v>
      </c>
      <c r="B7" s="48" t="s">
        <v>1979</v>
      </c>
      <c r="C7" s="48" t="s">
        <v>1980</v>
      </c>
      <c r="D7" s="48" t="s">
        <v>1931</v>
      </c>
      <c r="E7" s="48" t="s">
        <v>1981</v>
      </c>
      <c r="F7" s="48" t="s">
        <v>1982</v>
      </c>
      <c r="G7" s="48" t="s">
        <v>1983</v>
      </c>
      <c r="H7" s="48" t="s">
        <v>100</v>
      </c>
    </row>
    <row r="8" customFormat="false" ht="15" hidden="false" customHeight="true" outlineLevel="0" collapsed="false">
      <c r="A8" s="89" t="n">
        <v>1</v>
      </c>
      <c r="B8" s="89" t="str">
        <f aca="false">IFERROR(IF(배합시뮬레이터!C7="","",배합시뮬레이터!C7),"")</f>
        <v>사과농축과즙(70Brix)</v>
      </c>
      <c r="C8" s="56" t="str">
        <f aca="false">IFERROR(IF(배합시뮬레이터!D7=0,"",TEXT(배합시뮬레이터!D7,"0.00")&amp;"%"),"")</f>
        <v>8.00%</v>
      </c>
      <c r="D8" s="90" t="n">
        <f aca="false">IFERROR(배합시뮬레이터!N7,0)</f>
        <v>3500</v>
      </c>
      <c r="E8" s="91" t="n">
        <f aca="false">IFERROR(배합시뮬레이터!D7/100*$E$3/1000,0)</f>
        <v>0.08</v>
      </c>
      <c r="F8" s="92" t="n">
        <f aca="false">IFERROR(D8*E8,0)</f>
        <v>280</v>
      </c>
      <c r="G8" s="90" t="n">
        <f aca="false">IFERROR(배합시뮬레이터!R7,0)</f>
        <v>280</v>
      </c>
    </row>
    <row r="9" customFormat="false" ht="15" hidden="false" customHeight="true" outlineLevel="0" collapsed="false">
      <c r="A9" s="89" t="n">
        <v>2</v>
      </c>
      <c r="B9" s="89" t="str">
        <f aca="false">IFERROR(IF(배합시뮬레이터!C8="","",배합시뮬레이터!C8),"")</f>
        <v>사과페이스트</v>
      </c>
      <c r="C9" s="56" t="str">
        <f aca="false">IFERROR(IF(배합시뮬레이터!D8=0,"",TEXT(배합시뮬레이터!D8,"0.00")&amp;"%"),"")</f>
        <v>5.00%</v>
      </c>
      <c r="D9" s="90" t="n">
        <f aca="false">IFERROR(배합시뮬레이터!N8,0)</f>
        <v>650</v>
      </c>
      <c r="E9" s="91" t="n">
        <f aca="false">IFERROR(배합시뮬레이터!D8/100*$E$3/1000,0)</f>
        <v>0.05</v>
      </c>
      <c r="F9" s="92" t="n">
        <f aca="false">IFERROR(D9*E9,0)</f>
        <v>32.5</v>
      </c>
      <c r="G9" s="90" t="n">
        <f aca="false">IFERROR(배합시뮬레이터!R8,0)</f>
        <v>32.5</v>
      </c>
    </row>
    <row r="10" customFormat="false" ht="16.5" hidden="false" customHeight="true" outlineLevel="0" collapsed="false">
      <c r="A10" s="89" t="n">
        <v>3</v>
      </c>
      <c r="B10" s="89" t="str">
        <f aca="false">IFERROR(IF(배합시뮬레이터!C9="","",배합시뮬레이터!C9),"")</f>
        <v/>
      </c>
      <c r="C10" s="56" t="str">
        <f aca="false">IFERROR(IF(배합시뮬레이터!D9=0,"",TEXT(배합시뮬레이터!D9,"0.00")&amp;"%"),"")</f>
        <v/>
      </c>
      <c r="D10" s="90" t="str">
        <f aca="false">IFERROR(배합시뮬레이터!N9,0)</f>
        <v/>
      </c>
      <c r="E10" s="91" t="n">
        <f aca="false">IFERROR(배합시뮬레이터!D9/100*$E$3/1000,0)</f>
        <v>0</v>
      </c>
      <c r="F10" s="92" t="n">
        <f aca="false">IFERROR(D10*E10,0)</f>
        <v>0</v>
      </c>
      <c r="G10" s="90" t="n">
        <f aca="false">IFERROR(배합시뮬레이터!R9,0)</f>
        <v>0</v>
      </c>
    </row>
    <row r="11" customFormat="false" ht="15" hidden="false" customHeight="true" outlineLevel="0" collapsed="false">
      <c r="A11" s="89" t="n">
        <v>4</v>
      </c>
      <c r="B11" s="89" t="str">
        <f aca="false">IFERROR(IF(배합시뮬레이터!C10="","",배합시뮬레이터!C10),"")</f>
        <v/>
      </c>
      <c r="C11" s="56" t="str">
        <f aca="false">IFERROR(IF(배합시뮬레이터!D10=0,"",TEXT(배합시뮬레이터!D10,"0.00")&amp;"%"),"")</f>
        <v/>
      </c>
      <c r="D11" s="90" t="str">
        <f aca="false">IFERROR(배합시뮬레이터!N10,0)</f>
        <v/>
      </c>
      <c r="E11" s="91" t="n">
        <f aca="false">IFERROR(배합시뮬레이터!D10/100*$E$3/1000,0)</f>
        <v>0</v>
      </c>
      <c r="F11" s="92" t="n">
        <f aca="false">IFERROR(D11*E11,0)</f>
        <v>0</v>
      </c>
      <c r="G11" s="90" t="n">
        <f aca="false">IFERROR(배합시뮬레이터!R10,0)</f>
        <v>0</v>
      </c>
    </row>
    <row r="12" customFormat="false" ht="15" hidden="false" customHeight="true" outlineLevel="0" collapsed="false">
      <c r="A12" s="89" t="n">
        <v>5</v>
      </c>
      <c r="B12" s="89" t="str">
        <f aca="false">IFERROR(IF(배합시뮬레이터!C11="","",배합시뮬레이터!C11),"")</f>
        <v>액상과당(HFCS55)</v>
      </c>
      <c r="C12" s="56" t="str">
        <f aca="false">IFERROR(IF(배합시뮬레이터!D11=0,"",TEXT(배합시뮬레이터!D11,"0.00")&amp;"%"),"")</f>
        <v>7.00%</v>
      </c>
      <c r="D12" s="90" t="n">
        <f aca="false">IFERROR(배합시뮬레이터!N11,0)</f>
        <v>1000</v>
      </c>
      <c r="E12" s="91" t="n">
        <f aca="false">IFERROR(배합시뮬레이터!D11/100*$E$3/1000,0)</f>
        <v>0.07</v>
      </c>
      <c r="F12" s="92" t="n">
        <f aca="false">IFERROR(D12*E12,0)</f>
        <v>70</v>
      </c>
      <c r="G12" s="90" t="n">
        <f aca="false">IFERROR(배합시뮬레이터!R11,0)</f>
        <v>70</v>
      </c>
    </row>
    <row r="13" customFormat="false" ht="15" hidden="false" customHeight="true" outlineLevel="0" collapsed="false">
      <c r="A13" s="89" t="n">
        <v>6</v>
      </c>
      <c r="B13" s="89" t="str">
        <f aca="false">IFERROR(IF(배합시뮬레이터!C12="","",배합시뮬레이터!C12),"")</f>
        <v>백설탕(정제당)</v>
      </c>
      <c r="C13" s="56" t="str">
        <f aca="false">IFERROR(IF(배합시뮬레이터!D12=0,"",TEXT(배합시뮬레이터!D12,"0.00")&amp;"%"),"")</f>
        <v>2.00%</v>
      </c>
      <c r="D13" s="90" t="n">
        <f aca="false">IFERROR(배합시뮬레이터!N12,0)</f>
        <v>1200</v>
      </c>
      <c r="E13" s="91" t="n">
        <f aca="false">IFERROR(배합시뮬레이터!D12/100*$E$3/1000,0)</f>
        <v>0.02</v>
      </c>
      <c r="F13" s="92" t="n">
        <f aca="false">IFERROR(D13*E13,0)</f>
        <v>24</v>
      </c>
      <c r="G13" s="90" t="n">
        <f aca="false">IFERROR(배합시뮬레이터!R12,0)</f>
        <v>24</v>
      </c>
    </row>
    <row r="14" customFormat="false" ht="15" hidden="false" customHeight="true" outlineLevel="0" collapsed="false">
      <c r="A14" s="89" t="n">
        <v>7</v>
      </c>
      <c r="B14" s="89" t="str">
        <f aca="false">IFERROR(IF(배합시뮬레이터!C13="","",배합시뮬레이터!C13),"")</f>
        <v/>
      </c>
      <c r="C14" s="56" t="str">
        <f aca="false">IFERROR(IF(배합시뮬레이터!D13=0,"",TEXT(배합시뮬레이터!D13,"0.00")&amp;"%"),"")</f>
        <v/>
      </c>
      <c r="D14" s="90" t="str">
        <f aca="false">IFERROR(배합시뮬레이터!N13,0)</f>
        <v/>
      </c>
      <c r="E14" s="91" t="n">
        <f aca="false">IFERROR(배합시뮬레이터!D13/100*$E$3/1000,0)</f>
        <v>0</v>
      </c>
      <c r="F14" s="92" t="n">
        <f aca="false">IFERROR(D14*E14,0)</f>
        <v>0</v>
      </c>
      <c r="G14" s="90" t="n">
        <f aca="false">IFERROR(배합시뮬레이터!R13,0)</f>
        <v>0</v>
      </c>
    </row>
    <row r="15" customFormat="false" ht="15" hidden="false" customHeight="true" outlineLevel="0" collapsed="false">
      <c r="A15" s="89" t="n">
        <v>8</v>
      </c>
      <c r="B15" s="89" t="str">
        <f aca="false">IFERROR(IF(배합시뮬레이터!C14="","",배합시뮬레이터!C14),"")</f>
        <v/>
      </c>
      <c r="C15" s="56" t="str">
        <f aca="false">IFERROR(IF(배합시뮬레이터!D14=0,"",TEXT(배합시뮬레이터!D14,"0.00")&amp;"%"),"")</f>
        <v/>
      </c>
      <c r="D15" s="90" t="str">
        <f aca="false">IFERROR(배합시뮬레이터!N14,0)</f>
        <v/>
      </c>
      <c r="E15" s="91" t="n">
        <f aca="false">IFERROR(배합시뮬레이터!D14/100*$E$3/1000,0)</f>
        <v>0</v>
      </c>
      <c r="F15" s="92" t="n">
        <f aca="false">IFERROR(D15*E15,0)</f>
        <v>0</v>
      </c>
      <c r="G15" s="90" t="n">
        <f aca="false">IFERROR(배합시뮬레이터!R14,0)</f>
        <v>0</v>
      </c>
    </row>
    <row r="16" customFormat="false" ht="16.5" hidden="false" customHeight="true" outlineLevel="0" collapsed="false">
      <c r="A16" s="89" t="n">
        <v>9</v>
      </c>
      <c r="B16" s="89" t="str">
        <f aca="false">IFERROR(IF(배합시뮬레이터!C15="","",배합시뮬레이터!C15),"")</f>
        <v>펙틴(HM/고메톡실)</v>
      </c>
      <c r="C16" s="56" t="str">
        <f aca="false">IFERROR(IF(배합시뮬레이터!D15=0,"",TEXT(배합시뮬레이터!D15,"0.00")&amp;"%"),"")</f>
        <v>0.15%</v>
      </c>
      <c r="D16" s="90" t="n">
        <f aca="false">IFERROR(배합시뮬레이터!N15,0)</f>
        <v>25000</v>
      </c>
      <c r="E16" s="91" t="n">
        <f aca="false">IFERROR(배합시뮬레이터!D15/100*$E$3/1000,0)</f>
        <v>0.0015</v>
      </c>
      <c r="F16" s="92" t="n">
        <f aca="false">IFERROR(D16*E16,0)</f>
        <v>37.5</v>
      </c>
      <c r="G16" s="90" t="n">
        <f aca="false">IFERROR(배합시뮬레이터!R15,0)</f>
        <v>37.5</v>
      </c>
    </row>
    <row r="17" customFormat="false" ht="16.5" hidden="false" customHeight="true" outlineLevel="0" collapsed="false">
      <c r="A17" s="89" t="n">
        <v>10</v>
      </c>
      <c r="B17" s="89" t="str">
        <f aca="false">IFERROR(IF(배합시뮬레이터!C16="","",배합시뮬레이터!C16),"")</f>
        <v/>
      </c>
      <c r="C17" s="56" t="str">
        <f aca="false">IFERROR(IF(배합시뮬레이터!D16=0,"",TEXT(배합시뮬레이터!D16,"0.00")&amp;"%"),"")</f>
        <v/>
      </c>
      <c r="D17" s="90" t="str">
        <f aca="false">IFERROR(배합시뮬레이터!N16,0)</f>
        <v/>
      </c>
      <c r="E17" s="91" t="n">
        <f aca="false">IFERROR(배합시뮬레이터!D16/100*$E$3/1000,0)</f>
        <v>0</v>
      </c>
      <c r="F17" s="92" t="n">
        <f aca="false">IFERROR(D17*E17,0)</f>
        <v>0</v>
      </c>
      <c r="G17" s="90" t="n">
        <f aca="false">IFERROR(배합시뮬레이터!R16,0)</f>
        <v>0</v>
      </c>
    </row>
    <row r="18" customFormat="false" ht="16.5" hidden="false" customHeight="true" outlineLevel="0" collapsed="false">
      <c r="A18" s="89" t="n">
        <v>11</v>
      </c>
      <c r="B18" s="89" t="str">
        <f aca="false">IFERROR(IF(배합시뮬레이터!C17="","",배합시뮬레이터!C17),"")</f>
        <v/>
      </c>
      <c r="C18" s="56" t="str">
        <f aca="false">IFERROR(IF(배합시뮬레이터!D17=0,"",TEXT(배합시뮬레이터!D17,"0.00")&amp;"%"),"")</f>
        <v/>
      </c>
      <c r="D18" s="90" t="str">
        <f aca="false">IFERROR(배합시뮬레이터!N17,0)</f>
        <v/>
      </c>
      <c r="E18" s="91" t="n">
        <f aca="false">IFERROR(배합시뮬레이터!D17/100*$E$3/1000,0)</f>
        <v>0</v>
      </c>
      <c r="F18" s="92" t="n">
        <f aca="false">IFERROR(D18*E18,0)</f>
        <v>0</v>
      </c>
      <c r="G18" s="90" t="n">
        <f aca="false">IFERROR(배합시뮬레이터!R17,0)</f>
        <v>0</v>
      </c>
    </row>
    <row r="19" customFormat="false" ht="16.5" hidden="false" customHeight="true" outlineLevel="0" collapsed="false">
      <c r="A19" s="89" t="n">
        <v>12</v>
      </c>
      <c r="B19" s="89" t="str">
        <f aca="false">IFERROR(IF(배합시뮬레이터!C18="","",배합시뮬레이터!C18),"")</f>
        <v/>
      </c>
      <c r="C19" s="56" t="str">
        <f aca="false">IFERROR(IF(배합시뮬레이터!D18=0,"",TEXT(배합시뮬레이터!D18,"0.00")&amp;"%"),"")</f>
        <v/>
      </c>
      <c r="D19" s="90" t="str">
        <f aca="false">IFERROR(배합시뮬레이터!N18,0)</f>
        <v/>
      </c>
      <c r="E19" s="91" t="n">
        <f aca="false">IFERROR(배합시뮬레이터!D18/100*$E$3/1000,0)</f>
        <v>0</v>
      </c>
      <c r="F19" s="92" t="n">
        <f aca="false">IFERROR(D19*E19,0)</f>
        <v>0</v>
      </c>
      <c r="G19" s="90" t="n">
        <f aca="false">IFERROR(배합시뮬레이터!R18,0)</f>
        <v>0</v>
      </c>
    </row>
    <row r="20" customFormat="false" ht="16.5" hidden="false" customHeight="true" outlineLevel="0" collapsed="false">
      <c r="A20" s="89" t="n">
        <v>13</v>
      </c>
      <c r="B20" s="89" t="str">
        <f aca="false">IFERROR(IF(배합시뮬레이터!C19="","",배합시뮬레이터!C19),"")</f>
        <v>구연산(무수)</v>
      </c>
      <c r="C20" s="56" t="str">
        <f aca="false">IFERROR(IF(배합시뮬레이터!D19=0,"",TEXT(배합시뮬레이터!D19,"0.00")&amp;"%"),"")</f>
        <v>0.15%</v>
      </c>
      <c r="D20" s="90" t="n">
        <f aca="false">IFERROR(배합시뮬레이터!N19,0)</f>
        <v>2500</v>
      </c>
      <c r="E20" s="91" t="n">
        <f aca="false">IFERROR(배합시뮬레이터!D19/100*$E$3/1000,0)</f>
        <v>0.0015</v>
      </c>
      <c r="F20" s="92" t="n">
        <f aca="false">IFERROR(D20*E20,0)</f>
        <v>3.75</v>
      </c>
      <c r="G20" s="90" t="n">
        <f aca="false">IFERROR(배합시뮬레이터!R19,0)</f>
        <v>3.75</v>
      </c>
    </row>
    <row r="21" customFormat="false" ht="16.5" hidden="false" customHeight="true" outlineLevel="0" collapsed="false">
      <c r="A21" s="89" t="n">
        <v>14</v>
      </c>
      <c r="B21" s="89" t="str">
        <f aca="false">IFERROR(IF(배합시뮬레이터!C20="","",배합시뮬레이터!C20),"")</f>
        <v>사과향</v>
      </c>
      <c r="C21" s="56" t="str">
        <f aca="false">IFERROR(IF(배합시뮬레이터!D20=0,"",TEXT(배합시뮬레이터!D20,"0.00")&amp;"%"),"")</f>
        <v>0.10%</v>
      </c>
      <c r="D21" s="90" t="n">
        <f aca="false">IFERROR(배합시뮬레이터!N20,0)</f>
        <v>40000</v>
      </c>
      <c r="E21" s="91" t="n">
        <f aca="false">IFERROR(배합시뮬레이터!D20/100*$E$3/1000,0)</f>
        <v>0.001</v>
      </c>
      <c r="F21" s="92" t="n">
        <f aca="false">IFERROR(D21*E21,0)</f>
        <v>40</v>
      </c>
      <c r="G21" s="90" t="n">
        <f aca="false">IFERROR(배합시뮬레이터!R20,0)</f>
        <v>40</v>
      </c>
    </row>
    <row r="22" customFormat="false" ht="16.5" hidden="false" customHeight="true" outlineLevel="0" collapsed="false">
      <c r="A22" s="89" t="n">
        <v>15</v>
      </c>
      <c r="B22" s="89" t="str">
        <f aca="false">IFERROR(IF(배합시뮬레이터!C21="","",배합시뮬레이터!C21),"")</f>
        <v>아스코르빈산(비타민C)</v>
      </c>
      <c r="C22" s="56" t="str">
        <f aca="false">IFERROR(IF(배합시뮬레이터!D21=0,"",TEXT(배합시뮬레이터!D21,"0.00")&amp;"%"),"")</f>
        <v>0.05%</v>
      </c>
      <c r="D22" s="90" t="n">
        <f aca="false">IFERROR(배합시뮬레이터!N21,0)</f>
        <v>12000</v>
      </c>
      <c r="E22" s="91" t="n">
        <f aca="false">IFERROR(배합시뮬레이터!D21/100*$E$3/1000,0)</f>
        <v>0.0005</v>
      </c>
      <c r="F22" s="92" t="n">
        <f aca="false">IFERROR(D22*E22,0)</f>
        <v>6</v>
      </c>
      <c r="G22" s="90" t="n">
        <f aca="false">IFERROR(배합시뮬레이터!R21,0)</f>
        <v>6</v>
      </c>
    </row>
    <row r="23" customFormat="false" ht="16.5" hidden="false" customHeight="true" outlineLevel="0" collapsed="false">
      <c r="A23" s="89" t="n">
        <v>16</v>
      </c>
      <c r="B23" s="89" t="str">
        <f aca="false">IFERROR(IF(배합시뮬레이터!C22="","",배합시뮬레이터!C22),"")</f>
        <v>베타카로틴(합성)</v>
      </c>
      <c r="C23" s="56" t="str">
        <f aca="false">IFERROR(IF(배합시뮬레이터!D22=0,"",TEXT(배합시뮬레이터!D22,"0.00")&amp;"%"),"")</f>
        <v>0.02%</v>
      </c>
      <c r="D23" s="90" t="n">
        <f aca="false">IFERROR(배합시뮬레이터!N22,0)</f>
        <v>25000</v>
      </c>
      <c r="E23" s="91" t="n">
        <f aca="false">IFERROR(배합시뮬레이터!D22/100*$E$3/1000,0)</f>
        <v>0.0002</v>
      </c>
      <c r="F23" s="92" t="n">
        <f aca="false">IFERROR(D23*E23,0)</f>
        <v>5</v>
      </c>
      <c r="G23" s="90" t="n">
        <f aca="false">IFERROR(배합시뮬레이터!R22,0)</f>
        <v>5</v>
      </c>
    </row>
    <row r="24" customFormat="false" ht="15" hidden="false" customHeight="true" outlineLevel="0" collapsed="false">
      <c r="A24" s="89" t="n">
        <v>17</v>
      </c>
      <c r="B24" s="89" t="str">
        <f aca="false">IFERROR(IF(배합시뮬레이터!C23="","",배합시뮬레이터!C23),"")</f>
        <v/>
      </c>
      <c r="C24" s="56" t="str">
        <f aca="false">IFERROR(IF(배합시뮬레이터!D23=0,"",TEXT(배합시뮬레이터!D23,"0.00")&amp;"%"),"")</f>
        <v/>
      </c>
      <c r="D24" s="90" t="str">
        <f aca="false">IFERROR(배합시뮬레이터!N23,0)</f>
        <v/>
      </c>
      <c r="E24" s="91" t="n">
        <f aca="false">IFERROR(배합시뮬레이터!D23/100*$E$3/1000,0)</f>
        <v>0</v>
      </c>
      <c r="F24" s="92" t="n">
        <f aca="false">IFERROR(D24*E24,0)</f>
        <v>0</v>
      </c>
      <c r="G24" s="90" t="n">
        <f aca="false">IFERROR(배합시뮬레이터!R23,0)</f>
        <v>0</v>
      </c>
    </row>
    <row r="25" customFormat="false" ht="15" hidden="false" customHeight="true" outlineLevel="0" collapsed="false">
      <c r="A25" s="89" t="n">
        <v>18</v>
      </c>
      <c r="B25" s="89" t="str">
        <f aca="false">IFERROR(IF(배합시뮬레이터!C24="","",배합시뮬레이터!C24),"")</f>
        <v/>
      </c>
      <c r="C25" s="56" t="str">
        <f aca="false">IFERROR(IF(배합시뮬레이터!D24=0,"",TEXT(배합시뮬레이터!D24,"0.00")&amp;"%"),"")</f>
        <v/>
      </c>
      <c r="D25" s="90" t="str">
        <f aca="false">IFERROR(배합시뮬레이터!N24,0)</f>
        <v/>
      </c>
      <c r="E25" s="91" t="n">
        <f aca="false">IFERROR(배합시뮬레이터!D24/100*$E$3/1000,0)</f>
        <v>0</v>
      </c>
      <c r="F25" s="92" t="n">
        <f aca="false">IFERROR(D25*E25,0)</f>
        <v>0</v>
      </c>
      <c r="G25" s="90" t="n">
        <f aca="false">IFERROR(배합시뮬레이터!R24,0)</f>
        <v>0</v>
      </c>
    </row>
    <row r="26" customFormat="false" ht="16.5" hidden="false" customHeight="true" outlineLevel="0" collapsed="false">
      <c r="A26" s="89" t="n">
        <v>19</v>
      </c>
      <c r="B26" s="89" t="str">
        <f aca="false">IFERROR(IF(배합시뮬레이터!C25="","",배합시뮬레이터!C25),"")</f>
        <v/>
      </c>
      <c r="C26" s="56" t="str">
        <f aca="false">IFERROR(IF(배합시뮬레이터!D25=0,"",TEXT(배합시뮬레이터!D25,"0.00")&amp;"%"),"")</f>
        <v/>
      </c>
      <c r="D26" s="90" t="str">
        <f aca="false">IFERROR(배합시뮬레이터!N25,0)</f>
        <v/>
      </c>
      <c r="E26" s="91" t="n">
        <f aca="false">IFERROR(배합시뮬레이터!D25/100*$E$3/1000,0)</f>
        <v>0</v>
      </c>
      <c r="F26" s="92" t="n">
        <f aca="false">IFERROR(D26*E26,0)</f>
        <v>0</v>
      </c>
      <c r="G26" s="90" t="n">
        <f aca="false">IFERROR(배합시뮬레이터!R25,0)</f>
        <v>0</v>
      </c>
    </row>
    <row r="27" customFormat="false" ht="15" hidden="false" customHeight="true" outlineLevel="0" collapsed="false">
      <c r="A27" s="89" t="n">
        <v>20</v>
      </c>
      <c r="B27" s="89" t="str">
        <f aca="false">IFERROR(IF(배합시뮬레이터!C26="","",배합시뮬레이터!C26),"")</f>
        <v>정제수</v>
      </c>
      <c r="C27" s="56" t="str">
        <f aca="false">IFERROR(IF(배합시뮬레이터!D26=0,"",TEXT(배합시뮬레이터!D26,"0.00")&amp;"%"),"")</f>
        <v>77.53%</v>
      </c>
      <c r="D27" s="90" t="n">
        <f aca="false">IFERROR(배합시뮬레이터!N26,0)</f>
        <v>2</v>
      </c>
      <c r="E27" s="91" t="n">
        <f aca="false">IFERROR(배합시뮬레이터!D26/100*$E$3/1000,0)</f>
        <v>0.7753</v>
      </c>
      <c r="F27" s="92" t="n">
        <f aca="false">IFERROR(D27*E27,0)</f>
        <v>1.5506</v>
      </c>
      <c r="G27" s="90" t="n">
        <f aca="false">IFERROR(배합시뮬레이터!R26,0)</f>
        <v>1.5506</v>
      </c>
    </row>
    <row r="28" customFormat="false" ht="15" hidden="false" customHeight="true" outlineLevel="0" collapsed="false">
      <c r="A28" s="93" t="s">
        <v>1984</v>
      </c>
      <c r="B28" s="93"/>
      <c r="C28" s="93"/>
      <c r="D28" s="67"/>
      <c r="E28" s="67"/>
      <c r="F28" s="94" t="n">
        <f aca="false">SUM(F8:F27)</f>
        <v>500.3006</v>
      </c>
      <c r="G28" s="94" t="n">
        <f aca="false">SUM(G8:G27)</f>
        <v>500.3006</v>
      </c>
      <c r="H28" s="67"/>
    </row>
    <row r="30" customFormat="false" ht="15" hidden="false" customHeight="true" outlineLevel="0" collapsed="false">
      <c r="A30" s="88" t="s">
        <v>1985</v>
      </c>
      <c r="B30" s="88"/>
      <c r="C30" s="88"/>
      <c r="D30" s="88"/>
      <c r="E30" s="88"/>
      <c r="F30" s="88"/>
      <c r="G30" s="88"/>
      <c r="H30" s="88"/>
    </row>
    <row r="31" customFormat="false" ht="15" hidden="false" customHeight="true" outlineLevel="0" collapsed="false">
      <c r="A31" s="47" t="s">
        <v>0</v>
      </c>
      <c r="B31" s="48" t="s">
        <v>1979</v>
      </c>
      <c r="C31" s="48" t="s">
        <v>1980</v>
      </c>
      <c r="D31" s="48" t="s">
        <v>1931</v>
      </c>
      <c r="E31" s="48" t="s">
        <v>1981</v>
      </c>
      <c r="F31" s="48" t="s">
        <v>1982</v>
      </c>
      <c r="G31" s="48" t="s">
        <v>1983</v>
      </c>
      <c r="H31" s="48" t="s">
        <v>100</v>
      </c>
    </row>
    <row r="32" customFormat="false" ht="16.5" hidden="false" customHeight="true" outlineLevel="0" collapsed="false">
      <c r="A32" s="89" t="n">
        <v>1</v>
      </c>
      <c r="B32" s="89" t="s">
        <v>1986</v>
      </c>
      <c r="C32" s="95" t="s">
        <v>1987</v>
      </c>
      <c r="D32" s="37" t="n">
        <v>45</v>
      </c>
      <c r="E32" s="89" t="n">
        <v>1</v>
      </c>
      <c r="F32" s="90" t="n">
        <f aca="false">D32*E32</f>
        <v>45</v>
      </c>
      <c r="G32" s="90" t="n">
        <f aca="false">F32/($E$3/1000)</f>
        <v>45</v>
      </c>
      <c r="H32" s="89" t="s">
        <v>1988</v>
      </c>
    </row>
    <row r="33" customFormat="false" ht="16.5" hidden="false" customHeight="true" outlineLevel="0" collapsed="false">
      <c r="A33" s="89" t="n">
        <v>2</v>
      </c>
      <c r="B33" s="89" t="s">
        <v>1989</v>
      </c>
      <c r="C33" s="95" t="s">
        <v>1990</v>
      </c>
      <c r="D33" s="37" t="n">
        <v>8</v>
      </c>
      <c r="E33" s="89" t="n">
        <v>1</v>
      </c>
      <c r="F33" s="90" t="n">
        <f aca="false">D33*E33</f>
        <v>8</v>
      </c>
      <c r="G33" s="90" t="n">
        <f aca="false">F33/($E$3/1000)</f>
        <v>8</v>
      </c>
      <c r="H33" s="89"/>
    </row>
    <row r="34" customFormat="false" ht="16.5" hidden="false" customHeight="true" outlineLevel="0" collapsed="false">
      <c r="A34" s="89" t="n">
        <v>3</v>
      </c>
      <c r="B34" s="95" t="s">
        <v>1991</v>
      </c>
      <c r="C34" s="95" t="s">
        <v>1992</v>
      </c>
      <c r="D34" s="37" t="n">
        <v>12</v>
      </c>
      <c r="E34" s="89" t="n">
        <v>1</v>
      </c>
      <c r="F34" s="90" t="n">
        <f aca="false">D34*E34</f>
        <v>12</v>
      </c>
      <c r="G34" s="90" t="n">
        <f aca="false">F34/($E$3/1000)</f>
        <v>12</v>
      </c>
      <c r="H34" s="95" t="s">
        <v>1993</v>
      </c>
    </row>
    <row r="35" customFormat="false" ht="16.5" hidden="false" customHeight="true" outlineLevel="0" collapsed="false">
      <c r="A35" s="89" t="n">
        <v>4</v>
      </c>
      <c r="B35" s="95" t="s">
        <v>1994</v>
      </c>
      <c r="C35" s="95" t="s">
        <v>1995</v>
      </c>
      <c r="D35" s="37" t="n">
        <v>50</v>
      </c>
      <c r="E35" s="89" t="n">
        <v>1</v>
      </c>
      <c r="F35" s="90" t="n">
        <f aca="false">D35*E35</f>
        <v>50</v>
      </c>
      <c r="G35" s="90" t="n">
        <f aca="false">F35/($E$3/1000)</f>
        <v>50</v>
      </c>
      <c r="H35" s="89" t="s">
        <v>1996</v>
      </c>
    </row>
    <row r="36" customFormat="false" ht="16.5" hidden="false" customHeight="true" outlineLevel="0" collapsed="false">
      <c r="A36" s="89" t="n">
        <v>5</v>
      </c>
      <c r="B36" s="95" t="s">
        <v>1997</v>
      </c>
      <c r="C36" s="95" t="s">
        <v>1998</v>
      </c>
      <c r="D36" s="37" t="n">
        <v>0</v>
      </c>
      <c r="E36" s="89" t="n">
        <v>0</v>
      </c>
      <c r="F36" s="90" t="n">
        <f aca="false">D36*E36</f>
        <v>0</v>
      </c>
      <c r="G36" s="90" t="n">
        <f aca="false">F36/($E$3/1000)</f>
        <v>0</v>
      </c>
      <c r="H36" s="95" t="s">
        <v>1999</v>
      </c>
    </row>
    <row r="37" customFormat="false" ht="15" hidden="false" customHeight="true" outlineLevel="0" collapsed="false">
      <c r="A37" s="89" t="n">
        <v>6</v>
      </c>
      <c r="B37" s="95" t="s">
        <v>2000</v>
      </c>
      <c r="C37" s="95" t="s">
        <v>2001</v>
      </c>
      <c r="D37" s="37" t="n">
        <v>5</v>
      </c>
      <c r="E37" s="89" t="n">
        <v>1</v>
      </c>
      <c r="F37" s="90" t="n">
        <f aca="false">D37*E37</f>
        <v>5</v>
      </c>
      <c r="G37" s="90" t="n">
        <f aca="false">F37/($E$3/1000)</f>
        <v>5</v>
      </c>
      <c r="H37" s="89"/>
    </row>
    <row r="38" customFormat="false" ht="15" hidden="false" customHeight="true" outlineLevel="0" collapsed="false">
      <c r="A38" s="93" t="s">
        <v>2002</v>
      </c>
      <c r="B38" s="93"/>
      <c r="C38" s="93"/>
      <c r="D38" s="67"/>
      <c r="E38" s="67"/>
      <c r="F38" s="96" t="n">
        <f aca="false">SUM(F32:F37)</f>
        <v>120</v>
      </c>
      <c r="G38" s="96" t="n">
        <f aca="false">SUM(G32:G37)</f>
        <v>120</v>
      </c>
      <c r="H38" s="67"/>
    </row>
    <row r="40" customFormat="false" ht="16.5" hidden="false" customHeight="true" outlineLevel="0" collapsed="false">
      <c r="A40" s="88" t="s">
        <v>2003</v>
      </c>
      <c r="B40" s="88"/>
      <c r="C40" s="88"/>
      <c r="D40" s="88"/>
      <c r="E40" s="88"/>
      <c r="F40" s="88"/>
      <c r="G40" s="88"/>
      <c r="H40" s="88"/>
    </row>
    <row r="41" customFormat="false" ht="15" hidden="false" customHeight="true" outlineLevel="0" collapsed="false">
      <c r="A41" s="47" t="s">
        <v>0</v>
      </c>
      <c r="B41" s="48" t="s">
        <v>1979</v>
      </c>
      <c r="C41" s="48" t="s">
        <v>1980</v>
      </c>
      <c r="D41" s="48" t="s">
        <v>1931</v>
      </c>
      <c r="E41" s="48" t="s">
        <v>1981</v>
      </c>
      <c r="F41" s="48" t="s">
        <v>1982</v>
      </c>
      <c r="G41" s="48" t="s">
        <v>1983</v>
      </c>
      <c r="H41" s="48" t="s">
        <v>100</v>
      </c>
    </row>
    <row r="42" customFormat="false" ht="16.5" hidden="false" customHeight="true" outlineLevel="0" collapsed="false">
      <c r="A42" s="89" t="n">
        <v>1</v>
      </c>
      <c r="B42" s="95" t="s">
        <v>2004</v>
      </c>
      <c r="C42" s="95" t="s">
        <v>2005</v>
      </c>
      <c r="D42" s="89"/>
      <c r="E42" s="89"/>
      <c r="F42" s="97" t="n">
        <v>15</v>
      </c>
      <c r="G42" s="90" t="n">
        <f aca="false">F42/($E$3/1000)</f>
        <v>15</v>
      </c>
      <c r="H42" s="89"/>
    </row>
    <row r="43" customFormat="false" ht="16.5" hidden="false" customHeight="true" outlineLevel="0" collapsed="false">
      <c r="A43" s="89" t="n">
        <v>2</v>
      </c>
      <c r="B43" s="95" t="s">
        <v>2006</v>
      </c>
      <c r="C43" s="95" t="s">
        <v>2007</v>
      </c>
      <c r="D43" s="89"/>
      <c r="E43" s="89"/>
      <c r="F43" s="97" t="n">
        <v>5</v>
      </c>
      <c r="G43" s="90" t="n">
        <f aca="false">F43/($E$3/1000)</f>
        <v>5</v>
      </c>
      <c r="H43" s="89"/>
    </row>
    <row r="44" customFormat="false" ht="16.5" hidden="false" customHeight="true" outlineLevel="0" collapsed="false">
      <c r="A44" s="89" t="n">
        <v>3</v>
      </c>
      <c r="B44" s="95" t="s">
        <v>2008</v>
      </c>
      <c r="C44" s="95" t="s">
        <v>2009</v>
      </c>
      <c r="D44" s="89"/>
      <c r="E44" s="89"/>
      <c r="F44" s="97" t="n">
        <v>8</v>
      </c>
      <c r="G44" s="90" t="n">
        <f aca="false">F44/($E$3/1000)</f>
        <v>8</v>
      </c>
      <c r="H44" s="89"/>
    </row>
    <row r="45" customFormat="false" ht="16.5" hidden="false" customHeight="true" outlineLevel="0" collapsed="false">
      <c r="A45" s="89" t="n">
        <v>4</v>
      </c>
      <c r="B45" s="95" t="s">
        <v>2010</v>
      </c>
      <c r="C45" s="95" t="s">
        <v>2011</v>
      </c>
      <c r="D45" s="89"/>
      <c r="E45" s="89"/>
      <c r="F45" s="97" t="n">
        <v>2</v>
      </c>
      <c r="G45" s="90" t="n">
        <f aca="false">F45/($E$3/1000)</f>
        <v>2</v>
      </c>
      <c r="H45" s="89"/>
    </row>
    <row r="46" customFormat="false" ht="16.5" hidden="false" customHeight="true" outlineLevel="0" collapsed="false">
      <c r="A46" s="89" t="n">
        <v>5</v>
      </c>
      <c r="B46" s="95" t="s">
        <v>2012</v>
      </c>
      <c r="C46" s="89" t="s">
        <v>2013</v>
      </c>
      <c r="D46" s="89"/>
      <c r="E46" s="89"/>
      <c r="F46" s="97" t="n">
        <v>5</v>
      </c>
      <c r="G46" s="90" t="n">
        <f aca="false">F46/($E$3/1000)</f>
        <v>5</v>
      </c>
      <c r="H46" s="89"/>
    </row>
    <row r="47" customFormat="false" ht="16.5" hidden="false" customHeight="true" outlineLevel="0" collapsed="false">
      <c r="A47" s="89" t="n">
        <v>6</v>
      </c>
      <c r="B47" s="95" t="s">
        <v>2014</v>
      </c>
      <c r="C47" s="95" t="s">
        <v>2015</v>
      </c>
      <c r="D47" s="89"/>
      <c r="E47" s="89"/>
      <c r="F47" s="97" t="n">
        <v>3</v>
      </c>
      <c r="G47" s="90" t="n">
        <f aca="false">F47/($E$3/1000)</f>
        <v>3</v>
      </c>
      <c r="H47" s="89"/>
    </row>
    <row r="48" customFormat="false" ht="16.5" hidden="false" customHeight="true" outlineLevel="0" collapsed="false">
      <c r="A48" s="89" t="n">
        <v>7</v>
      </c>
      <c r="B48" s="95" t="s">
        <v>2016</v>
      </c>
      <c r="C48" s="95" t="s">
        <v>2017</v>
      </c>
      <c r="D48" s="89"/>
      <c r="E48" s="89"/>
      <c r="F48" s="97" t="n">
        <v>2</v>
      </c>
      <c r="G48" s="90" t="n">
        <f aca="false">F48/($E$3/1000)</f>
        <v>2</v>
      </c>
      <c r="H48" s="89"/>
    </row>
    <row r="49" customFormat="false" ht="16.5" hidden="false" customHeight="true" outlineLevel="0" collapsed="false">
      <c r="A49" s="89" t="n">
        <v>8</v>
      </c>
      <c r="B49" s="95" t="s">
        <v>2018</v>
      </c>
      <c r="C49" s="89" t="s">
        <v>2019</v>
      </c>
      <c r="D49" s="89"/>
      <c r="E49" s="89"/>
      <c r="F49" s="97" t="n">
        <v>3</v>
      </c>
      <c r="G49" s="90" t="n">
        <f aca="false">F49/($E$3/1000)</f>
        <v>3</v>
      </c>
      <c r="H49" s="89"/>
    </row>
    <row r="50" customFormat="false" ht="16.5" hidden="false" customHeight="true" outlineLevel="0" collapsed="false">
      <c r="A50" s="89" t="n">
        <v>9</v>
      </c>
      <c r="B50" s="95" t="s">
        <v>2020</v>
      </c>
      <c r="C50" s="95" t="s">
        <v>2021</v>
      </c>
      <c r="D50" s="89"/>
      <c r="E50" s="89"/>
      <c r="F50" s="97" t="n">
        <v>2</v>
      </c>
      <c r="G50" s="90" t="n">
        <f aca="false">F50/($E$3/1000)</f>
        <v>2</v>
      </c>
      <c r="H50" s="89"/>
    </row>
    <row r="51" customFormat="false" ht="16.5" hidden="false" customHeight="true" outlineLevel="0" collapsed="false">
      <c r="A51" s="89" t="n">
        <v>10</v>
      </c>
      <c r="B51" s="95" t="s">
        <v>2022</v>
      </c>
      <c r="C51" s="95" t="s">
        <v>2023</v>
      </c>
      <c r="D51" s="89"/>
      <c r="E51" s="89"/>
      <c r="F51" s="97" t="n">
        <v>10</v>
      </c>
      <c r="G51" s="90" t="n">
        <f aca="false">F51/($E$3/1000)</f>
        <v>10</v>
      </c>
      <c r="H51" s="89"/>
    </row>
    <row r="52" customFormat="false" ht="16.5" hidden="false" customHeight="true" outlineLevel="0" collapsed="false">
      <c r="A52" s="89" t="n">
        <v>11</v>
      </c>
      <c r="B52" s="95" t="s">
        <v>2024</v>
      </c>
      <c r="C52" s="95" t="s">
        <v>2025</v>
      </c>
      <c r="D52" s="89"/>
      <c r="E52" s="89"/>
      <c r="F52" s="97" t="n">
        <v>5</v>
      </c>
      <c r="G52" s="90" t="n">
        <f aca="false">F52/($E$3/1000)</f>
        <v>5</v>
      </c>
      <c r="H52" s="89"/>
    </row>
    <row r="53" customFormat="false" ht="15" hidden="false" customHeight="true" outlineLevel="0" collapsed="false">
      <c r="A53" s="93" t="s">
        <v>2026</v>
      </c>
      <c r="B53" s="93"/>
      <c r="C53" s="93"/>
      <c r="D53" s="67"/>
      <c r="E53" s="67"/>
      <c r="F53" s="96" t="n">
        <f aca="false">SUM(F42:F52)</f>
        <v>60</v>
      </c>
      <c r="G53" s="96" t="n">
        <f aca="false">SUM(G42:G52)</f>
        <v>60</v>
      </c>
      <c r="H53" s="67"/>
    </row>
    <row r="55" customFormat="false" ht="15" hidden="false" customHeight="true" outlineLevel="0" collapsed="false">
      <c r="A55" s="98" t="s">
        <v>2027</v>
      </c>
      <c r="B55" s="98"/>
      <c r="C55" s="98"/>
      <c r="D55" s="98"/>
      <c r="E55" s="98"/>
      <c r="F55" s="98"/>
      <c r="G55" s="98"/>
      <c r="H55" s="98"/>
    </row>
    <row r="56" customFormat="false" ht="15" hidden="false" customHeight="true" outlineLevel="0" collapsed="false">
      <c r="B56" s="36" t="s">
        <v>2028</v>
      </c>
      <c r="F56" s="90" t="n">
        <f aca="false">F28</f>
        <v>500.3006</v>
      </c>
      <c r="G56" s="90" t="n">
        <f aca="false">G28</f>
        <v>500.3006</v>
      </c>
    </row>
    <row r="57" customFormat="false" ht="15" hidden="false" customHeight="true" outlineLevel="0" collapsed="false">
      <c r="B57" s="36" t="s">
        <v>2029</v>
      </c>
      <c r="F57" s="90" t="n">
        <f aca="false">F38</f>
        <v>120</v>
      </c>
      <c r="G57" s="90" t="n">
        <f aca="false">G38</f>
        <v>120</v>
      </c>
    </row>
    <row r="58" customFormat="false" ht="15" hidden="false" customHeight="true" outlineLevel="0" collapsed="false">
      <c r="B58" s="36" t="s">
        <v>2030</v>
      </c>
      <c r="F58" s="90" t="n">
        <f aca="false">F53</f>
        <v>60</v>
      </c>
      <c r="G58" s="90" t="n">
        <f aca="false">G53</f>
        <v>60</v>
      </c>
    </row>
    <row r="59" customFormat="false" ht="15" hidden="false" customHeight="true" outlineLevel="0" collapsed="false">
      <c r="A59" s="99" t="s">
        <v>2031</v>
      </c>
      <c r="B59" s="99"/>
      <c r="C59" s="99"/>
      <c r="F59" s="100" t="n">
        <f aca="false">F56+F57+F58</f>
        <v>680.3006</v>
      </c>
      <c r="G59" s="100" t="n">
        <f aca="false">G56+G57+G58</f>
        <v>680.3006</v>
      </c>
    </row>
    <row r="60" customFormat="false" ht="15" hidden="false" customHeight="true" outlineLevel="0" collapsed="false">
      <c r="B60" s="71" t="s">
        <v>2032</v>
      </c>
      <c r="F60" s="97" t="n">
        <v>1500</v>
      </c>
    </row>
    <row r="61" customFormat="false" ht="17.25" hidden="false" customHeight="true" outlineLevel="0" collapsed="false">
      <c r="B61" s="101" t="s">
        <v>2033</v>
      </c>
      <c r="F61" s="102" t="n">
        <f aca="false">IF(F60&gt;0,F59/F60*100,"")</f>
        <v>45.3533733333333</v>
      </c>
      <c r="G61" s="103" t="str">
        <f aca="false">IF(F61&lt;40,"✅ 양호",IF(F61&lt;50,"ℹ️ 보통","⚠️ 원가율 높음"))</f>
        <v>ℹ️ 보통</v>
      </c>
    </row>
  </sheetData>
  <mergeCells count="9">
    <mergeCell ref="A1:H1"/>
    <mergeCell ref="A6:H6"/>
    <mergeCell ref="A28:C28"/>
    <mergeCell ref="A30:H30"/>
    <mergeCell ref="A38:C38"/>
    <mergeCell ref="A40:H40"/>
    <mergeCell ref="A53:C53"/>
    <mergeCell ref="A55:H55"/>
    <mergeCell ref="A59:C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2" style="1" width="16"/>
  </cols>
  <sheetData>
    <row r="1" customFormat="false" ht="15" hidden="false" customHeight="true" outlineLevel="0" collapsed="false">
      <c r="B1" s="24" t="s">
        <v>2034</v>
      </c>
      <c r="H1" s="24" t="s">
        <v>2035</v>
      </c>
    </row>
    <row r="2" customFormat="false" ht="15" hidden="false" customHeight="true" outlineLevel="0" collapsed="false">
      <c r="B2" s="24" t="s">
        <v>994</v>
      </c>
      <c r="C2" s="23" t="s">
        <v>2036</v>
      </c>
      <c r="D2" s="24" t="s">
        <v>1930</v>
      </c>
      <c r="E2" s="24" t="s">
        <v>1083</v>
      </c>
      <c r="F2" s="24" t="s">
        <v>1930</v>
      </c>
      <c r="H2" s="24" t="s">
        <v>2037</v>
      </c>
      <c r="I2" s="23" t="s">
        <v>2036</v>
      </c>
      <c r="J2" s="24" t="s">
        <v>2038</v>
      </c>
      <c r="K2" s="23" t="s">
        <v>2036</v>
      </c>
      <c r="L2" s="24" t="s">
        <v>2039</v>
      </c>
    </row>
    <row r="3" customFormat="false" ht="15" hidden="false" customHeight="true" outlineLevel="0" collapsed="false">
      <c r="B3" s="104" t="s">
        <v>2040</v>
      </c>
      <c r="C3" s="49" t="n">
        <v>100</v>
      </c>
      <c r="D3" s="49" t="n">
        <v>1</v>
      </c>
      <c r="E3" s="104" t="s">
        <v>2041</v>
      </c>
      <c r="F3" s="49" t="n">
        <v>300</v>
      </c>
      <c r="H3" s="104" t="s">
        <v>2042</v>
      </c>
      <c r="I3" s="49" t="n">
        <v>90</v>
      </c>
      <c r="J3" s="104" t="s">
        <v>2043</v>
      </c>
      <c r="K3" s="49" t="n">
        <v>80</v>
      </c>
      <c r="L3" s="49" t="n">
        <v>100</v>
      </c>
    </row>
    <row r="4" customFormat="false" ht="15" hidden="false" customHeight="true" outlineLevel="0" collapsed="false">
      <c r="B4" s="104" t="s">
        <v>2044</v>
      </c>
      <c r="C4" s="49" t="n">
        <v>90</v>
      </c>
      <c r="D4" s="49" t="n">
        <v>0.6</v>
      </c>
      <c r="E4" s="104" t="s">
        <v>2045</v>
      </c>
      <c r="F4" s="49" t="n">
        <v>200</v>
      </c>
      <c r="H4" s="104" t="s">
        <v>2046</v>
      </c>
      <c r="I4" s="49" t="n">
        <v>95</v>
      </c>
      <c r="J4" s="104" t="s">
        <v>2047</v>
      </c>
      <c r="K4" s="49" t="n">
        <v>85</v>
      </c>
      <c r="L4" s="49" t="n">
        <v>95</v>
      </c>
    </row>
    <row r="5" customFormat="false" ht="15" hidden="false" customHeight="true" outlineLevel="0" collapsed="false">
      <c r="B5" s="104" t="s">
        <v>2048</v>
      </c>
      <c r="C5" s="49" t="n">
        <v>82</v>
      </c>
      <c r="D5" s="49" t="n">
        <v>0.4</v>
      </c>
      <c r="E5" s="104" t="s">
        <v>1092</v>
      </c>
      <c r="F5" s="49" t="n">
        <v>600</v>
      </c>
      <c r="H5" s="104" t="s">
        <v>2049</v>
      </c>
      <c r="I5" s="49" t="n">
        <v>80</v>
      </c>
      <c r="J5" s="104" t="s">
        <v>2050</v>
      </c>
      <c r="K5" s="49" t="n">
        <v>100</v>
      </c>
      <c r="L5" s="49" t="n">
        <v>55</v>
      </c>
    </row>
    <row r="6" customFormat="false" ht="29.25" hidden="false" customHeight="true" outlineLevel="0" collapsed="false">
      <c r="B6" s="104" t="s">
        <v>2051</v>
      </c>
      <c r="C6" s="49" t="n">
        <v>75</v>
      </c>
      <c r="D6" s="49" t="n">
        <v>0.6</v>
      </c>
      <c r="E6" s="104" t="s">
        <v>2052</v>
      </c>
      <c r="F6" s="49" t="n">
        <v>1500</v>
      </c>
      <c r="J6" s="104" t="s">
        <v>2053</v>
      </c>
      <c r="K6" s="49" t="n">
        <v>100</v>
      </c>
      <c r="L6" s="49" t="n">
        <v>40</v>
      </c>
    </row>
    <row r="7" customFormat="false" ht="15" hidden="false" customHeight="true" outlineLevel="0" collapsed="false">
      <c r="B7" s="104" t="s">
        <v>2054</v>
      </c>
      <c r="C7" s="49" t="n">
        <v>75</v>
      </c>
      <c r="D7" s="49" t="n">
        <v>0.4</v>
      </c>
      <c r="E7" s="104" t="s">
        <v>2055</v>
      </c>
      <c r="F7" s="49" t="n">
        <v>200</v>
      </c>
      <c r="J7" s="104" t="s">
        <v>1452</v>
      </c>
      <c r="K7" s="49" t="n">
        <v>100</v>
      </c>
    </row>
    <row r="8" customFormat="false" ht="15" hidden="false" customHeight="true" outlineLevel="0" collapsed="false">
      <c r="B8" s="104" t="s">
        <v>2056</v>
      </c>
      <c r="C8" s="49" t="n">
        <v>75</v>
      </c>
      <c r="D8" s="49" t="n">
        <v>0.5</v>
      </c>
      <c r="E8" s="104" t="s">
        <v>2057</v>
      </c>
      <c r="F8" s="49" t="n">
        <v>2500</v>
      </c>
      <c r="J8" s="104" t="s">
        <v>2058</v>
      </c>
      <c r="K8" s="49" t="n">
        <v>80</v>
      </c>
    </row>
    <row r="9" customFormat="false" ht="29.25" hidden="false" customHeight="true" outlineLevel="0" collapsed="false">
      <c r="B9" s="104" t="s">
        <v>2059</v>
      </c>
      <c r="C9" s="49" t="n">
        <v>75</v>
      </c>
      <c r="D9" s="49" t="n">
        <v>1</v>
      </c>
      <c r="E9" s="104" t="s">
        <v>2060</v>
      </c>
      <c r="F9" s="49" t="n">
        <v>100</v>
      </c>
      <c r="J9" s="104" t="s">
        <v>2061</v>
      </c>
      <c r="K9" s="49" t="n">
        <v>95</v>
      </c>
    </row>
    <row r="10" customFormat="false" ht="15" hidden="false" customHeight="true" outlineLevel="0" collapsed="false">
      <c r="B10" s="104" t="s">
        <v>1067</v>
      </c>
      <c r="C10" s="49" t="n">
        <v>70</v>
      </c>
      <c r="D10" s="49" t="n">
        <v>0.8</v>
      </c>
      <c r="E10" s="104" t="s">
        <v>1445</v>
      </c>
      <c r="F10" s="49" t="n">
        <v>3000</v>
      </c>
      <c r="J10" s="104" t="s">
        <v>2062</v>
      </c>
      <c r="K10" s="49" t="n">
        <v>50</v>
      </c>
    </row>
    <row r="11" customFormat="false" ht="15" hidden="false" customHeight="true" outlineLevel="0" collapsed="false">
      <c r="B11" s="49" t="s">
        <v>2063</v>
      </c>
      <c r="C11" s="49" t="n">
        <v>68</v>
      </c>
      <c r="D11" s="49" t="n">
        <v>0.6</v>
      </c>
      <c r="E11" s="104" t="s">
        <v>2064</v>
      </c>
      <c r="F11" s="49" t="n">
        <v>30</v>
      </c>
      <c r="J11" s="104" t="s">
        <v>2065</v>
      </c>
      <c r="K11" s="49" t="s">
        <v>2066</v>
      </c>
    </row>
    <row r="12" customFormat="false" ht="15" hidden="false" customHeight="true" outlineLevel="0" collapsed="false">
      <c r="B12" s="104" t="s">
        <v>2067</v>
      </c>
      <c r="D12" s="49" t="n">
        <v>1</v>
      </c>
      <c r="E12" s="104" t="s">
        <v>1085</v>
      </c>
      <c r="F12" s="49" t="n">
        <v>200</v>
      </c>
      <c r="J12" s="104" t="s">
        <v>2068</v>
      </c>
      <c r="K12" s="49" t="n">
        <v>100</v>
      </c>
    </row>
    <row r="13" customFormat="false" ht="15" hidden="false" customHeight="true" outlineLevel="0" collapsed="false">
      <c r="B13" s="104" t="s">
        <v>2069</v>
      </c>
      <c r="D13" s="49" t="n">
        <v>0.6</v>
      </c>
      <c r="J13" s="104" t="s">
        <v>2070</v>
      </c>
      <c r="K13" s="49" t="n">
        <v>60</v>
      </c>
    </row>
    <row r="14" customFormat="false" ht="15" hidden="false" customHeight="true" outlineLevel="0" collapsed="false">
      <c r="B14" s="104" t="s">
        <v>2071</v>
      </c>
      <c r="D14" s="49" t="n">
        <v>0.4</v>
      </c>
    </row>
    <row r="15" customFormat="false" ht="15" hidden="false" customHeight="true" outlineLevel="0" collapsed="false">
      <c r="B15" s="104" t="s">
        <v>1057</v>
      </c>
      <c r="D15" s="49" t="n">
        <v>0.4</v>
      </c>
    </row>
    <row r="16" customFormat="false" ht="15" hidden="false" customHeight="true" outlineLevel="0" collapsed="false">
      <c r="B16" s="104" t="s">
        <v>1439</v>
      </c>
      <c r="D16" s="49" t="n">
        <v>1.2</v>
      </c>
    </row>
    <row r="17" customFormat="false" ht="15" hidden="false" customHeight="true" outlineLevel="0" collapsed="false">
      <c r="B17" s="104" t="s">
        <v>2072</v>
      </c>
      <c r="D17" s="49" t="n">
        <v>0.2</v>
      </c>
    </row>
    <row r="18" customFormat="false" ht="15" hidden="false" customHeight="true" outlineLevel="0" collapsed="false">
      <c r="B18" s="104" t="s">
        <v>2073</v>
      </c>
      <c r="D18" s="49" t="n">
        <v>0.3</v>
      </c>
    </row>
    <row r="19" customFormat="false" ht="15" hidden="false" customHeight="true" outlineLevel="0" collapsed="false">
      <c r="B19" s="104" t="s">
        <v>1436</v>
      </c>
      <c r="D19" s="49" t="n">
        <v>0.5</v>
      </c>
    </row>
    <row r="20" customFormat="false" ht="15" hidden="false" customHeight="true" outlineLevel="0" collapsed="false">
      <c r="B20" s="104" t="s">
        <v>2074</v>
      </c>
      <c r="D20" s="49" t="n">
        <v>0.1</v>
      </c>
    </row>
    <row r="21" customFormat="false" ht="15" hidden="false" customHeight="true" outlineLevel="0" collapsed="false">
      <c r="B21" s="104" t="s">
        <v>1071</v>
      </c>
      <c r="D21" s="49" t="n">
        <v>0.7</v>
      </c>
    </row>
    <row r="22" customFormat="false" ht="15" hidden="false" customHeight="true" outlineLevel="0" collapsed="false">
      <c r="B22" s="104" t="s">
        <v>2075</v>
      </c>
      <c r="D22" s="49" t="n">
        <v>0.6</v>
      </c>
    </row>
    <row r="23" customFormat="false" ht="15" hidden="false" customHeight="true" outlineLevel="0" collapsed="false">
      <c r="B23" s="104" t="s">
        <v>1080</v>
      </c>
      <c r="D23" s="49" t="n">
        <v>0.3</v>
      </c>
    </row>
    <row r="24" customFormat="false" ht="15" hidden="false" customHeight="true" outlineLevel="0" collapsed="false">
      <c r="B24" s="104" t="s">
        <v>2076</v>
      </c>
      <c r="D24" s="49" t="n">
        <v>0.5</v>
      </c>
    </row>
    <row r="25" customFormat="false" ht="15" hidden="false" customHeight="true" outlineLevel="0" collapsed="false">
      <c r="B25" s="104" t="s">
        <v>2077</v>
      </c>
      <c r="D25" s="49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2" style="1" width="18"/>
    <col collapsed="false" customWidth="true" hidden="false" outlineLevel="0" max="10" min="7" style="1" width="18"/>
  </cols>
  <sheetData>
    <row r="1" customFormat="false" ht="15" hidden="false" customHeight="true" outlineLevel="0" collapsed="false">
      <c r="B1" s="23" t="s">
        <v>2078</v>
      </c>
      <c r="C1" s="24" t="s">
        <v>2079</v>
      </c>
      <c r="D1" s="23" t="s">
        <v>2080</v>
      </c>
      <c r="G1" s="23" t="s">
        <v>2078</v>
      </c>
      <c r="H1" s="24" t="s">
        <v>2079</v>
      </c>
      <c r="I1" s="23" t="s">
        <v>2080</v>
      </c>
    </row>
    <row r="2" customFormat="false" ht="15" hidden="false" customHeight="true" outlineLevel="0" collapsed="false">
      <c r="D2" s="24" t="s">
        <v>2081</v>
      </c>
      <c r="E2" s="23" t="s">
        <v>2082</v>
      </c>
      <c r="I2" s="24" t="s">
        <v>2081</v>
      </c>
      <c r="J2" s="23" t="s">
        <v>2082</v>
      </c>
    </row>
    <row r="3" customFormat="false" ht="15" hidden="false" customHeight="true" outlineLevel="0" collapsed="false">
      <c r="B3" s="49" t="s">
        <v>2083</v>
      </c>
      <c r="C3" s="104" t="s">
        <v>1926</v>
      </c>
      <c r="D3" s="49" t="s">
        <v>2084</v>
      </c>
      <c r="E3" s="49" t="n">
        <v>11.5</v>
      </c>
      <c r="G3" s="49" t="s">
        <v>2085</v>
      </c>
      <c r="H3" s="104" t="s">
        <v>2086</v>
      </c>
      <c r="J3" s="49" t="n">
        <v>18.5</v>
      </c>
    </row>
    <row r="4" customFormat="false" ht="15" hidden="false" customHeight="true" outlineLevel="0" collapsed="false">
      <c r="B4" s="49" t="s">
        <v>2087</v>
      </c>
      <c r="C4" s="104" t="s">
        <v>2088</v>
      </c>
      <c r="D4" s="49" t="s">
        <v>2089</v>
      </c>
      <c r="E4" s="49" t="n">
        <v>11.7</v>
      </c>
      <c r="G4" s="49" t="s">
        <v>2090</v>
      </c>
      <c r="H4" s="104" t="s">
        <v>2091</v>
      </c>
      <c r="J4" s="49" t="n">
        <v>10</v>
      </c>
    </row>
    <row r="5" customFormat="false" ht="15" hidden="false" customHeight="true" outlineLevel="0" collapsed="false">
      <c r="B5" s="49" t="s">
        <v>2092</v>
      </c>
      <c r="C5" s="104" t="s">
        <v>2093</v>
      </c>
      <c r="D5" s="49" t="s">
        <v>2089</v>
      </c>
      <c r="E5" s="49" t="n">
        <v>4.5</v>
      </c>
      <c r="G5" s="49" t="s">
        <v>2094</v>
      </c>
      <c r="H5" s="104" t="s">
        <v>2095</v>
      </c>
      <c r="J5" s="49" t="n">
        <v>11</v>
      </c>
    </row>
    <row r="6" customFormat="false" ht="15" hidden="false" customHeight="true" outlineLevel="0" collapsed="false">
      <c r="B6" s="49" t="s">
        <v>2096</v>
      </c>
      <c r="C6" s="104" t="s">
        <v>2097</v>
      </c>
      <c r="D6" s="49" t="s">
        <v>2084</v>
      </c>
      <c r="E6" s="49" t="n">
        <v>4.5</v>
      </c>
      <c r="G6" s="49" t="s">
        <v>2098</v>
      </c>
      <c r="H6" s="104" t="s">
        <v>2099</v>
      </c>
      <c r="J6" s="49" t="n">
        <v>18.2</v>
      </c>
    </row>
    <row r="7" customFormat="false" ht="15" hidden="false" customHeight="true" outlineLevel="0" collapsed="false">
      <c r="B7" s="49" t="s">
        <v>2100</v>
      </c>
      <c r="C7" s="104" t="s">
        <v>2101</v>
      </c>
      <c r="D7" s="49" t="s">
        <v>2102</v>
      </c>
      <c r="E7" s="49" t="n">
        <v>11.5</v>
      </c>
      <c r="G7" s="49" t="s">
        <v>2103</v>
      </c>
      <c r="H7" s="104" t="s">
        <v>2104</v>
      </c>
      <c r="J7" s="49" t="n">
        <v>8.3</v>
      </c>
    </row>
    <row r="8" customFormat="false" ht="15" hidden="false" customHeight="true" outlineLevel="0" collapsed="false">
      <c r="B8" s="49" t="s">
        <v>2105</v>
      </c>
      <c r="C8" s="104" t="s">
        <v>2106</v>
      </c>
      <c r="D8" s="49" t="s">
        <v>2089</v>
      </c>
      <c r="E8" s="49" t="n">
        <v>10.5</v>
      </c>
      <c r="G8" s="49" t="s">
        <v>2107</v>
      </c>
      <c r="H8" s="104" t="s">
        <v>2108</v>
      </c>
      <c r="J8" s="49" t="n">
        <v>16</v>
      </c>
    </row>
    <row r="9" customFormat="false" ht="15" hidden="false" customHeight="true" outlineLevel="0" collapsed="false">
      <c r="B9" s="49" t="s">
        <v>2109</v>
      </c>
      <c r="C9" s="104" t="s">
        <v>2110</v>
      </c>
      <c r="D9" s="49" t="s">
        <v>2111</v>
      </c>
      <c r="E9" s="49" t="n">
        <v>12</v>
      </c>
      <c r="G9" s="49" t="s">
        <v>2112</v>
      </c>
      <c r="H9" s="104" t="s">
        <v>2113</v>
      </c>
      <c r="J9" s="49" t="n">
        <v>9.6</v>
      </c>
    </row>
    <row r="10" customFormat="false" ht="15" hidden="false" customHeight="true" outlineLevel="0" collapsed="false">
      <c r="B10" s="49" t="s">
        <v>2114</v>
      </c>
      <c r="C10" s="104" t="s">
        <v>2115</v>
      </c>
      <c r="D10" s="49" t="s">
        <v>2116</v>
      </c>
      <c r="E10" s="49" t="n">
        <v>14.3</v>
      </c>
      <c r="G10" s="49" t="s">
        <v>2117</v>
      </c>
      <c r="H10" s="104" t="s">
        <v>2118</v>
      </c>
      <c r="J10" s="49" t="n">
        <v>15.4</v>
      </c>
    </row>
    <row r="11" customFormat="false" ht="15" hidden="false" customHeight="true" outlineLevel="0" collapsed="false">
      <c r="B11" s="49" t="s">
        <v>2119</v>
      </c>
      <c r="C11" s="104" t="s">
        <v>2120</v>
      </c>
      <c r="D11" s="49" t="s">
        <v>2089</v>
      </c>
      <c r="E11" s="49" t="n">
        <v>8</v>
      </c>
      <c r="G11" s="49" t="s">
        <v>2121</v>
      </c>
      <c r="H11" s="104" t="s">
        <v>2122</v>
      </c>
      <c r="J11" s="49" t="n">
        <v>10</v>
      </c>
    </row>
    <row r="12" customFormat="false" ht="15" hidden="false" customHeight="true" outlineLevel="0" collapsed="false">
      <c r="B12" s="49" t="s">
        <v>2123</v>
      </c>
      <c r="C12" s="104" t="s">
        <v>2124</v>
      </c>
      <c r="D12" s="49" t="s">
        <v>2102</v>
      </c>
      <c r="E12" s="49" t="n">
        <v>7.8</v>
      </c>
      <c r="G12" s="49" t="s">
        <v>2125</v>
      </c>
      <c r="H12" s="104" t="s">
        <v>2126</v>
      </c>
      <c r="J12" s="49" t="n">
        <v>7.7</v>
      </c>
    </row>
    <row r="13" customFormat="false" ht="15" hidden="false" customHeight="true" outlineLevel="0" collapsed="false">
      <c r="B13" s="49" t="s">
        <v>2127</v>
      </c>
      <c r="C13" s="104" t="s">
        <v>2128</v>
      </c>
      <c r="E13" s="49" t="n">
        <v>6</v>
      </c>
      <c r="G13" s="49" t="s">
        <v>2129</v>
      </c>
      <c r="H13" s="104" t="s">
        <v>2130</v>
      </c>
      <c r="J13" s="49" t="n">
        <v>10.5</v>
      </c>
    </row>
    <row r="14" customFormat="false" ht="15" hidden="false" customHeight="true" outlineLevel="0" collapsed="false">
      <c r="B14" s="49" t="s">
        <v>2131</v>
      </c>
      <c r="C14" s="104" t="s">
        <v>2132</v>
      </c>
      <c r="G14" s="49" t="s">
        <v>2133</v>
      </c>
      <c r="H14" s="104" t="s">
        <v>2134</v>
      </c>
      <c r="J14" s="49" t="n">
        <v>13</v>
      </c>
    </row>
    <row r="15" customFormat="false" ht="15" hidden="false" customHeight="true" outlineLevel="0" collapsed="false">
      <c r="B15" s="49" t="s">
        <v>2135</v>
      </c>
      <c r="C15" s="104" t="s">
        <v>2136</v>
      </c>
      <c r="E15" s="49" t="n">
        <v>22</v>
      </c>
      <c r="G15" s="49" t="s">
        <v>2137</v>
      </c>
      <c r="H15" s="104" t="s">
        <v>2138</v>
      </c>
      <c r="J15" s="49" t="n">
        <v>11.8</v>
      </c>
    </row>
    <row r="16" customFormat="false" ht="15" hidden="false" customHeight="true" outlineLevel="0" collapsed="false">
      <c r="B16" s="49" t="s">
        <v>2139</v>
      </c>
      <c r="C16" s="104" t="s">
        <v>2140</v>
      </c>
      <c r="G16" s="49" t="s">
        <v>2141</v>
      </c>
      <c r="H16" s="104" t="s">
        <v>2142</v>
      </c>
      <c r="J16" s="49" t="n">
        <v>11.8</v>
      </c>
    </row>
    <row r="17" customFormat="false" ht="15" hidden="false" customHeight="true" outlineLevel="0" collapsed="false">
      <c r="B17" s="49" t="s">
        <v>2143</v>
      </c>
      <c r="C17" s="104" t="s">
        <v>2144</v>
      </c>
      <c r="G17" s="49" t="s">
        <v>2145</v>
      </c>
      <c r="H17" s="104" t="s">
        <v>2146</v>
      </c>
      <c r="J17" s="49" t="n">
        <v>14</v>
      </c>
    </row>
    <row r="18" customFormat="false" ht="15" hidden="false" customHeight="true" outlineLevel="0" collapsed="false">
      <c r="B18" s="49" t="s">
        <v>2147</v>
      </c>
      <c r="C18" s="104" t="s">
        <v>2148</v>
      </c>
      <c r="G18" s="49" t="s">
        <v>2149</v>
      </c>
      <c r="H18" s="104" t="s">
        <v>2150</v>
      </c>
      <c r="J18" s="49" t="n">
        <v>12.8</v>
      </c>
    </row>
    <row r="19" customFormat="false" ht="15" hidden="false" customHeight="true" outlineLevel="0" collapsed="false">
      <c r="B19" s="49" t="s">
        <v>2151</v>
      </c>
      <c r="C19" s="104" t="s">
        <v>2152</v>
      </c>
      <c r="E19" s="49" t="n">
        <v>10</v>
      </c>
      <c r="G19" s="49" t="s">
        <v>2153</v>
      </c>
      <c r="H19" s="104" t="s">
        <v>2154</v>
      </c>
      <c r="J19" s="49" t="n">
        <v>16</v>
      </c>
    </row>
    <row r="20" customFormat="false" ht="15" hidden="false" customHeight="true" outlineLevel="0" collapsed="false">
      <c r="B20" s="49" t="s">
        <v>2155</v>
      </c>
      <c r="C20" s="104" t="s">
        <v>2156</v>
      </c>
      <c r="E20" s="49" t="n">
        <v>10</v>
      </c>
      <c r="G20" s="49" t="s">
        <v>2157</v>
      </c>
      <c r="H20" s="104" t="s">
        <v>2158</v>
      </c>
      <c r="J20" s="49" t="n">
        <v>18.5</v>
      </c>
    </row>
    <row r="21" customFormat="false" ht="15" hidden="false" customHeight="true" outlineLevel="0" collapsed="false">
      <c r="B21" s="49" t="s">
        <v>2159</v>
      </c>
      <c r="C21" s="104" t="s">
        <v>2160</v>
      </c>
      <c r="E21" s="49" t="n">
        <v>10</v>
      </c>
      <c r="G21" s="49" t="s">
        <v>2161</v>
      </c>
      <c r="H21" s="104" t="s">
        <v>2162</v>
      </c>
      <c r="J21" s="49" t="n">
        <v>13.3</v>
      </c>
    </row>
    <row r="22" customFormat="false" ht="15" hidden="false" customHeight="true" outlineLevel="0" collapsed="false">
      <c r="B22" s="49" t="s">
        <v>2163</v>
      </c>
      <c r="E22" s="49" t="n">
        <v>9.6</v>
      </c>
      <c r="G22" s="49" t="s">
        <v>2164</v>
      </c>
      <c r="H22" s="104" t="s">
        <v>2165</v>
      </c>
      <c r="J22" s="49" t="n">
        <v>18.5</v>
      </c>
    </row>
    <row r="23" customFormat="false" ht="23.25" hidden="false" customHeight="true" outlineLevel="0" collapsed="false">
      <c r="B23" s="49" t="s">
        <v>2166</v>
      </c>
      <c r="C23" s="104" t="s">
        <v>2167</v>
      </c>
      <c r="E23" s="49" t="n">
        <v>7.8</v>
      </c>
      <c r="G23" s="49" t="s">
        <v>2168</v>
      </c>
      <c r="H23" s="104" t="s">
        <v>2169</v>
      </c>
      <c r="J23" s="49" t="n">
        <v>11.1</v>
      </c>
    </row>
    <row r="24" customFormat="false" ht="15" hidden="false" customHeight="true" outlineLevel="0" collapsed="false">
      <c r="B24" s="49" t="s">
        <v>2170</v>
      </c>
      <c r="C24" s="104" t="s">
        <v>2171</v>
      </c>
      <c r="E24" s="49" t="n">
        <v>8</v>
      </c>
      <c r="G24" s="49" t="s">
        <v>2172</v>
      </c>
      <c r="H24" s="104" t="s">
        <v>2173</v>
      </c>
      <c r="J24" s="49" t="n">
        <v>9.2</v>
      </c>
    </row>
    <row r="25" customFormat="false" ht="15" hidden="false" customHeight="true" outlineLevel="0" collapsed="false">
      <c r="B25" s="49" t="s">
        <v>2174</v>
      </c>
      <c r="C25" s="104" t="s">
        <v>2175</v>
      </c>
      <c r="E25" s="49" t="n">
        <v>7.5</v>
      </c>
      <c r="G25" s="49" t="s">
        <v>2176</v>
      </c>
      <c r="H25" s="104" t="s">
        <v>2177</v>
      </c>
      <c r="J25" s="49" t="n">
        <v>18.5</v>
      </c>
    </row>
    <row r="26" customFormat="false" ht="15" hidden="false" customHeight="true" outlineLevel="0" collapsed="false">
      <c r="B26" s="49" t="s">
        <v>2178</v>
      </c>
      <c r="C26" s="104" t="s">
        <v>2179</v>
      </c>
      <c r="E26" s="49" t="n">
        <v>12</v>
      </c>
      <c r="G26" s="49" t="s">
        <v>2180</v>
      </c>
      <c r="H26" s="104" t="s">
        <v>2181</v>
      </c>
      <c r="J26" s="49" t="n">
        <v>5.7</v>
      </c>
    </row>
    <row r="27" customFormat="false" ht="15" hidden="false" customHeight="true" outlineLevel="0" collapsed="false">
      <c r="B27" s="49" t="s">
        <v>2182</v>
      </c>
      <c r="C27" s="104" t="s">
        <v>2183</v>
      </c>
      <c r="E27" s="49" t="n">
        <v>3.1</v>
      </c>
      <c r="G27" s="49" t="s">
        <v>2184</v>
      </c>
      <c r="H27" s="104" t="s">
        <v>2185</v>
      </c>
      <c r="J27" s="49" t="n">
        <v>16</v>
      </c>
    </row>
    <row r="28" customFormat="false" ht="23.25" hidden="false" customHeight="true" outlineLevel="0" collapsed="false">
      <c r="B28" s="49" t="s">
        <v>2186</v>
      </c>
      <c r="C28" s="104" t="s">
        <v>2187</v>
      </c>
      <c r="E28" s="49" t="n">
        <v>20</v>
      </c>
      <c r="G28" s="49" t="s">
        <v>2188</v>
      </c>
      <c r="H28" s="104" t="s">
        <v>2189</v>
      </c>
      <c r="J28" s="49" t="n">
        <v>3</v>
      </c>
    </row>
    <row r="29" customFormat="false" ht="15" hidden="false" customHeight="true" outlineLevel="0" collapsed="false">
      <c r="B29" s="49" t="s">
        <v>2190</v>
      </c>
      <c r="C29" s="104" t="s">
        <v>2191</v>
      </c>
      <c r="E29" s="49" t="n">
        <v>14</v>
      </c>
      <c r="G29" s="49" t="s">
        <v>2192</v>
      </c>
      <c r="H29" s="104" t="s">
        <v>2193</v>
      </c>
      <c r="J29" s="49" t="n">
        <v>10</v>
      </c>
    </row>
    <row r="30" customFormat="false" ht="15" hidden="false" customHeight="true" outlineLevel="0" collapsed="false">
      <c r="B30" s="49" t="s">
        <v>2194</v>
      </c>
      <c r="C30" s="104" t="s">
        <v>2195</v>
      </c>
      <c r="E30" s="49" t="n">
        <v>15.4</v>
      </c>
      <c r="G30" s="49" t="s">
        <v>2196</v>
      </c>
      <c r="H30" s="104" t="s">
        <v>2197</v>
      </c>
      <c r="J30" s="49" t="n">
        <v>18</v>
      </c>
    </row>
    <row r="31" customFormat="false" ht="15" hidden="false" customHeight="true" outlineLevel="0" collapsed="false">
      <c r="B31" s="49" t="s">
        <v>2198</v>
      </c>
      <c r="C31" s="104" t="s">
        <v>2199</v>
      </c>
      <c r="E31" s="49" t="n">
        <v>7.5</v>
      </c>
      <c r="G31" s="49" t="s">
        <v>2200</v>
      </c>
      <c r="H31" s="104" t="s">
        <v>2201</v>
      </c>
      <c r="J31" s="49" t="n">
        <v>11.8</v>
      </c>
    </row>
    <row r="32" customFormat="false" ht="15" hidden="false" customHeight="true" outlineLevel="0" collapsed="false">
      <c r="B32" s="49" t="s">
        <v>2202</v>
      </c>
      <c r="C32" s="104" t="s">
        <v>2203</v>
      </c>
      <c r="E32" s="49" t="n">
        <v>11</v>
      </c>
      <c r="G32" s="49" t="s">
        <v>2204</v>
      </c>
      <c r="H32" s="104" t="s">
        <v>2205</v>
      </c>
      <c r="J32" s="49" t="n">
        <v>5</v>
      </c>
    </row>
    <row r="33" customFormat="false" ht="15" hidden="false" customHeight="true" outlineLevel="0" collapsed="false">
      <c r="B33" s="49" t="s">
        <v>2206</v>
      </c>
      <c r="C33" s="104" t="s">
        <v>2207</v>
      </c>
      <c r="E33" s="49" t="n">
        <v>10.5</v>
      </c>
      <c r="G33" s="49" t="s">
        <v>2208</v>
      </c>
      <c r="H33" s="104" t="s">
        <v>2209</v>
      </c>
      <c r="J33" s="49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14"/>
  </cols>
  <sheetData>
    <row r="1" customFormat="false" ht="15" hidden="false" customHeight="true" outlineLevel="0" collapsed="false">
      <c r="A1" s="105" t="s">
        <v>2210</v>
      </c>
      <c r="B1" s="105" t="s">
        <v>2211</v>
      </c>
      <c r="C1" s="105" t="s">
        <v>1933</v>
      </c>
      <c r="D1" s="106" t="s">
        <v>2212</v>
      </c>
      <c r="E1" s="106" t="s">
        <v>2213</v>
      </c>
      <c r="F1" s="105" t="s">
        <v>2214</v>
      </c>
      <c r="G1" s="105" t="s">
        <v>2215</v>
      </c>
    </row>
    <row r="2" customFormat="false" ht="15" hidden="false" customHeight="true" outlineLevel="0" collapsed="false">
      <c r="A2" s="107" t="s">
        <v>2216</v>
      </c>
      <c r="B2" s="107" t="n">
        <v>1</v>
      </c>
      <c r="C2" s="107" t="s">
        <v>1950</v>
      </c>
      <c r="D2" s="107" t="s">
        <v>942</v>
      </c>
      <c r="E2" s="107" t="n">
        <v>8</v>
      </c>
      <c r="F2" s="107" t="s">
        <v>942</v>
      </c>
      <c r="G2" s="107" t="n">
        <v>3</v>
      </c>
    </row>
    <row r="3" customFormat="false" ht="15" hidden="false" customHeight="true" outlineLevel="0" collapsed="false">
      <c r="A3" s="107" t="s">
        <v>2217</v>
      </c>
      <c r="B3" s="107" t="n">
        <v>2</v>
      </c>
      <c r="C3" s="107" t="s">
        <v>1950</v>
      </c>
      <c r="D3" s="107" t="s">
        <v>1414</v>
      </c>
      <c r="E3" s="107" t="n">
        <v>5</v>
      </c>
      <c r="F3" s="107" t="s">
        <v>846</v>
      </c>
      <c r="G3" s="107" t="n">
        <v>10</v>
      </c>
    </row>
    <row r="4" customFormat="false" ht="15" hidden="false" customHeight="true" outlineLevel="0" collapsed="false">
      <c r="A4" s="107" t="s">
        <v>2218</v>
      </c>
      <c r="B4" s="107" t="n">
        <v>3</v>
      </c>
      <c r="C4" s="107" t="s">
        <v>1950</v>
      </c>
      <c r="D4" s="107"/>
      <c r="E4" s="107"/>
      <c r="F4" s="107" t="s">
        <v>942</v>
      </c>
      <c r="G4" s="107" t="n">
        <v>3</v>
      </c>
    </row>
    <row r="5" customFormat="false" ht="15" hidden="false" customHeight="true" outlineLevel="0" collapsed="false">
      <c r="A5" s="107" t="s">
        <v>2219</v>
      </c>
      <c r="B5" s="107" t="n">
        <v>4</v>
      </c>
      <c r="C5" s="107" t="s">
        <v>1950</v>
      </c>
      <c r="D5" s="107"/>
      <c r="E5" s="107"/>
      <c r="F5" s="107"/>
      <c r="G5" s="107"/>
    </row>
    <row r="6" customFormat="false" ht="15" hidden="false" customHeight="true" outlineLevel="0" collapsed="false">
      <c r="A6" s="107" t="s">
        <v>2220</v>
      </c>
      <c r="B6" s="107" t="n">
        <v>5</v>
      </c>
      <c r="C6" s="107" t="s">
        <v>994</v>
      </c>
      <c r="D6" s="107" t="s">
        <v>1004</v>
      </c>
      <c r="E6" s="107" t="n">
        <v>7</v>
      </c>
      <c r="F6" s="107" t="s">
        <v>1034</v>
      </c>
      <c r="G6" s="107" t="n">
        <v>8.5</v>
      </c>
    </row>
    <row r="7" customFormat="false" ht="15" hidden="false" customHeight="true" outlineLevel="0" collapsed="false">
      <c r="A7" s="107" t="s">
        <v>2221</v>
      </c>
      <c r="B7" s="107" t="n">
        <v>6</v>
      </c>
      <c r="C7" s="107" t="s">
        <v>994</v>
      </c>
      <c r="D7" s="107" t="s">
        <v>996</v>
      </c>
      <c r="E7" s="107" t="n">
        <v>2</v>
      </c>
      <c r="F7" s="107"/>
      <c r="G7" s="107"/>
    </row>
    <row r="8" customFormat="false" ht="15" hidden="false" customHeight="true" outlineLevel="0" collapsed="false">
      <c r="A8" s="107" t="s">
        <v>2222</v>
      </c>
      <c r="B8" s="107" t="n">
        <v>7</v>
      </c>
      <c r="C8" s="107" t="s">
        <v>994</v>
      </c>
      <c r="D8" s="107"/>
      <c r="E8" s="107"/>
      <c r="F8" s="107"/>
      <c r="G8" s="107"/>
    </row>
    <row r="9" customFormat="false" ht="15" hidden="false" customHeight="true" outlineLevel="0" collapsed="false">
      <c r="A9" s="107" t="s">
        <v>2223</v>
      </c>
      <c r="B9" s="107" t="n">
        <v>8</v>
      </c>
      <c r="C9" s="107" t="s">
        <v>994</v>
      </c>
      <c r="D9" s="107"/>
      <c r="E9" s="107"/>
      <c r="F9" s="107"/>
      <c r="G9" s="107"/>
    </row>
    <row r="10" customFormat="false" ht="15" hidden="false" customHeight="true" outlineLevel="0" collapsed="false">
      <c r="A10" s="107" t="s">
        <v>2224</v>
      </c>
      <c r="B10" s="107" t="n">
        <v>9</v>
      </c>
      <c r="C10" s="107" t="s">
        <v>2037</v>
      </c>
      <c r="D10" s="107" t="s">
        <v>1305</v>
      </c>
      <c r="E10" s="107" t="n">
        <v>0.15</v>
      </c>
      <c r="F10" s="107" t="s">
        <v>1305</v>
      </c>
      <c r="G10" s="107" t="n">
        <v>0.15</v>
      </c>
    </row>
    <row r="11" customFormat="false" ht="15" hidden="false" customHeight="true" outlineLevel="0" collapsed="false">
      <c r="A11" s="107" t="s">
        <v>2225</v>
      </c>
      <c r="B11" s="107" t="n">
        <v>10</v>
      </c>
      <c r="C11" s="107" t="s">
        <v>2037</v>
      </c>
      <c r="D11" s="107"/>
      <c r="E11" s="107"/>
      <c r="F11" s="107"/>
      <c r="G11" s="107"/>
    </row>
    <row r="12" customFormat="false" ht="15" hidden="false" customHeight="true" outlineLevel="0" collapsed="false">
      <c r="A12" s="107" t="s">
        <v>2226</v>
      </c>
      <c r="B12" s="107" t="n">
        <v>11</v>
      </c>
      <c r="C12" s="107" t="s">
        <v>2037</v>
      </c>
      <c r="D12" s="107"/>
      <c r="E12" s="107"/>
      <c r="F12" s="107"/>
      <c r="G12" s="107"/>
    </row>
    <row r="13" customFormat="false" ht="15" hidden="false" customHeight="true" outlineLevel="0" collapsed="false">
      <c r="A13" s="107" t="s">
        <v>2227</v>
      </c>
      <c r="B13" s="107" t="n">
        <v>12</v>
      </c>
      <c r="C13" s="107" t="s">
        <v>2037</v>
      </c>
      <c r="D13" s="107"/>
      <c r="E13" s="107"/>
      <c r="F13" s="107"/>
      <c r="G13" s="107"/>
    </row>
    <row r="14" customFormat="false" ht="15" hidden="false" customHeight="true" outlineLevel="0" collapsed="false">
      <c r="A14" s="107" t="s">
        <v>2228</v>
      </c>
      <c r="B14" s="107" t="n">
        <v>13</v>
      </c>
      <c r="C14" s="107" t="s">
        <v>2229</v>
      </c>
      <c r="D14" s="107" t="s">
        <v>1137</v>
      </c>
      <c r="E14" s="107" t="n">
        <v>0.15</v>
      </c>
      <c r="F14" s="107" t="s">
        <v>1137</v>
      </c>
      <c r="G14" s="107" t="n">
        <v>0.16</v>
      </c>
    </row>
    <row r="15" customFormat="false" ht="15" hidden="false" customHeight="true" outlineLevel="0" collapsed="false">
      <c r="A15" s="107" t="s">
        <v>2230</v>
      </c>
      <c r="B15" s="107" t="n">
        <v>14</v>
      </c>
      <c r="C15" s="107" t="s">
        <v>2229</v>
      </c>
      <c r="D15" s="107" t="s">
        <v>1232</v>
      </c>
      <c r="E15" s="107" t="n">
        <v>0.1</v>
      </c>
      <c r="F15" s="107" t="s">
        <v>2231</v>
      </c>
      <c r="G15" s="107" t="n">
        <v>0.003</v>
      </c>
    </row>
    <row r="16" customFormat="false" ht="15" hidden="false" customHeight="true" outlineLevel="0" collapsed="false">
      <c r="A16" s="107" t="s">
        <v>2232</v>
      </c>
      <c r="B16" s="107" t="n">
        <v>15</v>
      </c>
      <c r="C16" s="107" t="s">
        <v>2229</v>
      </c>
      <c r="D16" s="107" t="s">
        <v>1179</v>
      </c>
      <c r="E16" s="107" t="n">
        <v>0.05</v>
      </c>
      <c r="F16" s="107" t="s">
        <v>1179</v>
      </c>
      <c r="G16" s="107" t="n">
        <v>0.04</v>
      </c>
    </row>
    <row r="17" customFormat="false" ht="15" hidden="false" customHeight="true" outlineLevel="0" collapsed="false">
      <c r="A17" s="107" t="s">
        <v>2233</v>
      </c>
      <c r="B17" s="107" t="n">
        <v>16</v>
      </c>
      <c r="C17" s="107" t="s">
        <v>2229</v>
      </c>
      <c r="D17" s="107" t="s">
        <v>1265</v>
      </c>
      <c r="E17" s="107" t="n">
        <v>0.02</v>
      </c>
      <c r="F17" s="107"/>
      <c r="G17" s="107"/>
    </row>
    <row r="18" customFormat="false" ht="15" hidden="false" customHeight="true" outlineLevel="0" collapsed="false">
      <c r="A18" s="107" t="s">
        <v>2234</v>
      </c>
      <c r="B18" s="107" t="n">
        <v>17</v>
      </c>
      <c r="C18" s="107" t="s">
        <v>2229</v>
      </c>
      <c r="D18" s="107"/>
      <c r="E18" s="107"/>
      <c r="F18" s="107"/>
      <c r="G18" s="107"/>
    </row>
    <row r="19" customFormat="false" ht="15" hidden="false" customHeight="true" outlineLevel="0" collapsed="false">
      <c r="A19" s="107" t="s">
        <v>2235</v>
      </c>
      <c r="B19" s="107" t="n">
        <v>18</v>
      </c>
      <c r="C19" s="107" t="s">
        <v>2229</v>
      </c>
      <c r="D19" s="107"/>
      <c r="E19" s="107"/>
      <c r="F19" s="107"/>
      <c r="G19" s="107"/>
    </row>
    <row r="20" customFormat="false" ht="15" hidden="false" customHeight="true" outlineLevel="0" collapsed="false">
      <c r="A20" s="107" t="s">
        <v>2236</v>
      </c>
      <c r="B20" s="107" t="n">
        <v>19</v>
      </c>
      <c r="C20" s="107" t="s">
        <v>2229</v>
      </c>
      <c r="D20" s="107"/>
      <c r="E20" s="107"/>
      <c r="F20" s="107"/>
      <c r="G20" s="107"/>
    </row>
    <row r="21" customFormat="false" ht="15" hidden="false" customHeight="true" outlineLevel="0" collapsed="false">
      <c r="A21" s="107" t="s">
        <v>2237</v>
      </c>
      <c r="B21" s="107" t="n">
        <v>20</v>
      </c>
      <c r="C21" s="107" t="s">
        <v>1328</v>
      </c>
      <c r="D21" s="107" t="s">
        <v>1328</v>
      </c>
      <c r="E21" s="107" t="n">
        <v>77.53</v>
      </c>
      <c r="F21" s="107" t="s">
        <v>1328</v>
      </c>
      <c r="G21" s="107" t="n">
        <v>75.15</v>
      </c>
    </row>
    <row r="22" customFormat="false" ht="15" hidden="false" customHeight="true" outlineLevel="0" collapsed="false">
      <c r="A22" s="107" t="s">
        <v>2238</v>
      </c>
      <c r="B22" s="107" t="n">
        <v>1</v>
      </c>
      <c r="C22" s="107" t="s">
        <v>1950</v>
      </c>
      <c r="D22" s="107" t="s">
        <v>2239</v>
      </c>
      <c r="E22" s="107" t="n">
        <v>3</v>
      </c>
      <c r="F22" s="107" t="s">
        <v>2239</v>
      </c>
      <c r="G22" s="107" t="n">
        <v>4.2</v>
      </c>
    </row>
    <row r="23" customFormat="false" ht="15" hidden="false" customHeight="true" outlineLevel="0" collapsed="false">
      <c r="A23" s="107" t="s">
        <v>2240</v>
      </c>
      <c r="B23" s="107" t="n">
        <v>2</v>
      </c>
      <c r="C23" s="107" t="s">
        <v>1950</v>
      </c>
      <c r="D23" s="107" t="s">
        <v>2241</v>
      </c>
      <c r="E23" s="107" t="n">
        <v>17</v>
      </c>
      <c r="F23" s="107" t="s">
        <v>863</v>
      </c>
      <c r="G23" s="107" t="n">
        <v>20</v>
      </c>
    </row>
    <row r="24" customFormat="false" ht="15" hidden="false" customHeight="true" outlineLevel="0" collapsed="false">
      <c r="A24" s="107" t="s">
        <v>2242</v>
      </c>
      <c r="B24" s="107" t="n">
        <v>3</v>
      </c>
      <c r="C24" s="107" t="s">
        <v>1950</v>
      </c>
      <c r="D24" s="107"/>
      <c r="E24" s="107"/>
      <c r="F24" s="107"/>
      <c r="G24" s="107"/>
    </row>
    <row r="25" customFormat="false" ht="15" hidden="false" customHeight="true" outlineLevel="0" collapsed="false">
      <c r="A25" s="107" t="s">
        <v>2243</v>
      </c>
      <c r="B25" s="107" t="n">
        <v>4</v>
      </c>
      <c r="C25" s="107" t="s">
        <v>1950</v>
      </c>
      <c r="D25" s="107"/>
      <c r="E25" s="107"/>
      <c r="F25" s="107"/>
      <c r="G25" s="107"/>
    </row>
    <row r="26" customFormat="false" ht="15" hidden="false" customHeight="true" outlineLevel="0" collapsed="false">
      <c r="A26" s="107" t="s">
        <v>2244</v>
      </c>
      <c r="B26" s="107" t="n">
        <v>5</v>
      </c>
      <c r="C26" s="107" t="s">
        <v>994</v>
      </c>
      <c r="D26" s="107" t="s">
        <v>996</v>
      </c>
      <c r="E26" s="107" t="n">
        <v>4</v>
      </c>
      <c r="F26" s="107" t="s">
        <v>996</v>
      </c>
      <c r="G26" s="107" t="n">
        <v>45.5</v>
      </c>
    </row>
    <row r="27" customFormat="false" ht="15" hidden="false" customHeight="true" outlineLevel="0" collapsed="false">
      <c r="A27" s="107" t="s">
        <v>2245</v>
      </c>
      <c r="B27" s="107" t="n">
        <v>6</v>
      </c>
      <c r="C27" s="107" t="s">
        <v>994</v>
      </c>
      <c r="D27" s="107" t="s">
        <v>1004</v>
      </c>
      <c r="E27" s="107" t="n">
        <v>5</v>
      </c>
      <c r="F27" s="107" t="s">
        <v>1011</v>
      </c>
      <c r="G27" s="107" t="n">
        <v>5</v>
      </c>
    </row>
    <row r="28" customFormat="false" ht="15" hidden="false" customHeight="true" outlineLevel="0" collapsed="false">
      <c r="A28" s="107" t="s">
        <v>2246</v>
      </c>
      <c r="B28" s="107" t="n">
        <v>7</v>
      </c>
      <c r="C28" s="107" t="s">
        <v>994</v>
      </c>
      <c r="D28" s="107"/>
      <c r="E28" s="107"/>
      <c r="F28" s="107"/>
      <c r="G28" s="107"/>
    </row>
    <row r="29" customFormat="false" ht="15" hidden="false" customHeight="true" outlineLevel="0" collapsed="false">
      <c r="A29" s="107" t="s">
        <v>2247</v>
      </c>
      <c r="B29" s="107" t="n">
        <v>8</v>
      </c>
      <c r="C29" s="107" t="s">
        <v>994</v>
      </c>
      <c r="D29" s="107"/>
      <c r="E29" s="107"/>
      <c r="F29" s="107"/>
      <c r="G29" s="107"/>
    </row>
    <row r="30" customFormat="false" ht="15" hidden="false" customHeight="true" outlineLevel="0" collapsed="false">
      <c r="A30" s="107" t="s">
        <v>2248</v>
      </c>
      <c r="B30" s="107" t="n">
        <v>9</v>
      </c>
      <c r="C30" s="107" t="s">
        <v>2037</v>
      </c>
      <c r="D30" s="107" t="s">
        <v>1305</v>
      </c>
      <c r="E30" s="107" t="n">
        <v>0.15</v>
      </c>
      <c r="F30" s="107" t="s">
        <v>1423</v>
      </c>
      <c r="G30" s="107" t="n">
        <v>1.4</v>
      </c>
    </row>
    <row r="31" customFormat="false" ht="15" hidden="false" customHeight="true" outlineLevel="0" collapsed="false">
      <c r="A31" s="107" t="s">
        <v>2249</v>
      </c>
      <c r="B31" s="107" t="n">
        <v>10</v>
      </c>
      <c r="C31" s="107" t="s">
        <v>2037</v>
      </c>
      <c r="D31" s="107" t="s">
        <v>1320</v>
      </c>
      <c r="E31" s="107" t="n">
        <v>0.05</v>
      </c>
      <c r="F31" s="107" t="s">
        <v>2250</v>
      </c>
      <c r="G31" s="107" t="n">
        <v>1</v>
      </c>
    </row>
    <row r="32" customFormat="false" ht="15" hidden="false" customHeight="true" outlineLevel="0" collapsed="false">
      <c r="A32" s="107" t="s">
        <v>2251</v>
      </c>
      <c r="B32" s="107" t="n">
        <v>11</v>
      </c>
      <c r="C32" s="107" t="s">
        <v>2037</v>
      </c>
      <c r="D32" s="107"/>
      <c r="E32" s="107"/>
      <c r="F32" s="107" t="s">
        <v>1320</v>
      </c>
      <c r="G32" s="107" t="n">
        <v>0.175</v>
      </c>
    </row>
    <row r="33" customFormat="false" ht="15" hidden="false" customHeight="true" outlineLevel="0" collapsed="false">
      <c r="A33" s="107" t="s">
        <v>2252</v>
      </c>
      <c r="B33" s="107" t="n">
        <v>12</v>
      </c>
      <c r="C33" s="107" t="s">
        <v>2037</v>
      </c>
      <c r="D33" s="107"/>
      <c r="E33" s="107"/>
      <c r="F33" s="107"/>
      <c r="G33" s="107"/>
    </row>
    <row r="34" customFormat="false" ht="15" hidden="false" customHeight="true" outlineLevel="0" collapsed="false">
      <c r="A34" s="107" t="s">
        <v>2253</v>
      </c>
      <c r="B34" s="107" t="n">
        <v>13</v>
      </c>
      <c r="C34" s="107" t="s">
        <v>2229</v>
      </c>
      <c r="D34" s="107" t="s">
        <v>1137</v>
      </c>
      <c r="E34" s="107" t="n">
        <v>0.2</v>
      </c>
      <c r="F34" s="107" t="s">
        <v>1137</v>
      </c>
      <c r="G34" s="107" t="n">
        <v>0.2</v>
      </c>
    </row>
    <row r="35" customFormat="false" ht="15" hidden="false" customHeight="true" outlineLevel="0" collapsed="false">
      <c r="A35" s="107" t="s">
        <v>2254</v>
      </c>
      <c r="B35" s="107" t="n">
        <v>14</v>
      </c>
      <c r="C35" s="107" t="s">
        <v>2229</v>
      </c>
      <c r="D35" s="107" t="s">
        <v>2255</v>
      </c>
      <c r="E35" s="107" t="n">
        <v>0.1</v>
      </c>
      <c r="F35" s="107" t="s">
        <v>2255</v>
      </c>
      <c r="G35" s="107" t="n">
        <v>0.5</v>
      </c>
    </row>
    <row r="36" customFormat="false" ht="15" hidden="false" customHeight="true" outlineLevel="0" collapsed="false">
      <c r="A36" s="107" t="s">
        <v>2256</v>
      </c>
      <c r="B36" s="107" t="n">
        <v>15</v>
      </c>
      <c r="C36" s="107" t="s">
        <v>2229</v>
      </c>
      <c r="D36" s="107" t="s">
        <v>1179</v>
      </c>
      <c r="E36" s="107" t="n">
        <v>0.05</v>
      </c>
      <c r="F36" s="107" t="s">
        <v>1179</v>
      </c>
      <c r="G36" s="107" t="n">
        <v>0.1</v>
      </c>
    </row>
    <row r="37" customFormat="false" ht="15" hidden="false" customHeight="true" outlineLevel="0" collapsed="false">
      <c r="A37" s="107" t="s">
        <v>2257</v>
      </c>
      <c r="B37" s="107" t="n">
        <v>16</v>
      </c>
      <c r="C37" s="107" t="s">
        <v>2229</v>
      </c>
      <c r="D37" s="107" t="s">
        <v>2258</v>
      </c>
      <c r="E37" s="107" t="n">
        <v>0.02</v>
      </c>
      <c r="F37" s="107" t="s">
        <v>2258</v>
      </c>
      <c r="G37" s="107" t="n">
        <v>0.1</v>
      </c>
    </row>
    <row r="38" customFormat="false" ht="15" hidden="false" customHeight="true" outlineLevel="0" collapsed="false">
      <c r="A38" s="107" t="s">
        <v>2259</v>
      </c>
      <c r="B38" s="107" t="n">
        <v>17</v>
      </c>
      <c r="C38" s="107" t="s">
        <v>2229</v>
      </c>
      <c r="D38" s="107" t="s">
        <v>1452</v>
      </c>
      <c r="E38" s="107" t="n">
        <v>0.03</v>
      </c>
      <c r="F38" s="107" t="s">
        <v>1452</v>
      </c>
      <c r="G38" s="107" t="n">
        <v>0.05</v>
      </c>
    </row>
    <row r="39" customFormat="false" ht="15" hidden="false" customHeight="true" outlineLevel="0" collapsed="false">
      <c r="A39" s="107" t="s">
        <v>2260</v>
      </c>
      <c r="B39" s="107" t="n">
        <v>18</v>
      </c>
      <c r="C39" s="107" t="s">
        <v>2229</v>
      </c>
      <c r="D39" s="107"/>
      <c r="E39" s="107"/>
      <c r="F39" s="107" t="s">
        <v>1399</v>
      </c>
      <c r="G39" s="107" t="n">
        <v>0.5</v>
      </c>
    </row>
    <row r="40" customFormat="false" ht="15" hidden="false" customHeight="true" outlineLevel="0" collapsed="false">
      <c r="A40" s="107" t="s">
        <v>2261</v>
      </c>
      <c r="B40" s="107" t="n">
        <v>19</v>
      </c>
      <c r="C40" s="107" t="s">
        <v>2229</v>
      </c>
      <c r="D40" s="107"/>
      <c r="E40" s="107"/>
      <c r="F40" s="107" t="s">
        <v>1432</v>
      </c>
      <c r="G40" s="107" t="n">
        <v>0.01</v>
      </c>
    </row>
    <row r="41" customFormat="false" ht="15" hidden="false" customHeight="true" outlineLevel="0" collapsed="false">
      <c r="A41" s="107" t="s">
        <v>2262</v>
      </c>
      <c r="B41" s="107" t="n">
        <v>20</v>
      </c>
      <c r="C41" s="107" t="s">
        <v>1328</v>
      </c>
      <c r="D41" s="107" t="s">
        <v>1328</v>
      </c>
      <c r="E41" s="107" t="n">
        <v>70.4</v>
      </c>
      <c r="F41" s="107" t="s">
        <v>1328</v>
      </c>
      <c r="G41" s="107" t="n">
        <v>21.27</v>
      </c>
    </row>
    <row r="42" customFormat="false" ht="15" hidden="false" customHeight="true" outlineLevel="0" collapsed="false">
      <c r="A42" s="107" t="s">
        <v>2263</v>
      </c>
      <c r="B42" s="107" t="n">
        <v>1</v>
      </c>
      <c r="C42" s="107" t="s">
        <v>1950</v>
      </c>
      <c r="D42" s="107" t="s">
        <v>2264</v>
      </c>
      <c r="E42" s="107" t="n">
        <v>5</v>
      </c>
      <c r="F42" s="107" t="s">
        <v>2264</v>
      </c>
      <c r="G42" s="107" t="n">
        <v>6</v>
      </c>
    </row>
    <row r="43" customFormat="false" ht="15" hidden="false" customHeight="true" outlineLevel="0" collapsed="false">
      <c r="A43" s="107" t="s">
        <v>2265</v>
      </c>
      <c r="B43" s="107" t="n">
        <v>2</v>
      </c>
      <c r="C43" s="107" t="s">
        <v>1950</v>
      </c>
      <c r="D43" s="107" t="s">
        <v>2266</v>
      </c>
      <c r="E43" s="107" t="n">
        <v>3</v>
      </c>
      <c r="F43" s="107" t="s">
        <v>2266</v>
      </c>
      <c r="G43" s="107" t="n">
        <v>2</v>
      </c>
    </row>
    <row r="44" customFormat="false" ht="15" hidden="false" customHeight="true" outlineLevel="0" collapsed="false">
      <c r="A44" s="107" t="s">
        <v>2267</v>
      </c>
      <c r="B44" s="107" t="n">
        <v>3</v>
      </c>
      <c r="C44" s="107" t="s">
        <v>1950</v>
      </c>
      <c r="D44" s="107"/>
      <c r="E44" s="107"/>
      <c r="F44" s="107"/>
      <c r="G44" s="107"/>
    </row>
    <row r="45" customFormat="false" ht="15" hidden="false" customHeight="true" outlineLevel="0" collapsed="false">
      <c r="A45" s="107" t="s">
        <v>2268</v>
      </c>
      <c r="B45" s="107" t="n">
        <v>4</v>
      </c>
      <c r="C45" s="107" t="s">
        <v>1950</v>
      </c>
      <c r="D45" s="107"/>
      <c r="E45" s="107"/>
      <c r="F45" s="107"/>
      <c r="G45" s="107"/>
    </row>
    <row r="46" customFormat="false" ht="15" hidden="false" customHeight="true" outlineLevel="0" collapsed="false">
      <c r="A46" s="107" t="s">
        <v>2269</v>
      </c>
      <c r="B46" s="107" t="n">
        <v>5</v>
      </c>
      <c r="C46" s="107" t="s">
        <v>994</v>
      </c>
      <c r="D46" s="107" t="s">
        <v>1004</v>
      </c>
      <c r="E46" s="107" t="n">
        <v>7</v>
      </c>
      <c r="F46" s="107" t="s">
        <v>1004</v>
      </c>
      <c r="G46" s="107" t="n">
        <v>8</v>
      </c>
    </row>
    <row r="47" customFormat="false" ht="15" hidden="false" customHeight="true" outlineLevel="0" collapsed="false">
      <c r="A47" s="107" t="s">
        <v>2270</v>
      </c>
      <c r="B47" s="107" t="n">
        <v>6</v>
      </c>
      <c r="C47" s="107" t="s">
        <v>994</v>
      </c>
      <c r="D47" s="107" t="s">
        <v>996</v>
      </c>
      <c r="E47" s="107" t="n">
        <v>1.5</v>
      </c>
      <c r="F47" s="107" t="s">
        <v>996</v>
      </c>
      <c r="G47" s="107" t="n">
        <v>1</v>
      </c>
    </row>
    <row r="48" customFormat="false" ht="15" hidden="false" customHeight="true" outlineLevel="0" collapsed="false">
      <c r="A48" s="107" t="s">
        <v>2271</v>
      </c>
      <c r="B48" s="107" t="n">
        <v>7</v>
      </c>
      <c r="C48" s="107" t="s">
        <v>994</v>
      </c>
      <c r="D48" s="107"/>
      <c r="E48" s="107"/>
      <c r="F48" s="107"/>
      <c r="G48" s="107"/>
    </row>
    <row r="49" customFormat="false" ht="15" hidden="false" customHeight="true" outlineLevel="0" collapsed="false">
      <c r="A49" s="107" t="s">
        <v>2272</v>
      </c>
      <c r="B49" s="107" t="n">
        <v>8</v>
      </c>
      <c r="C49" s="107" t="s">
        <v>994</v>
      </c>
      <c r="D49" s="107"/>
      <c r="E49" s="107"/>
      <c r="F49" s="107"/>
      <c r="G49" s="107"/>
    </row>
    <row r="50" customFormat="false" ht="15" hidden="false" customHeight="true" outlineLevel="0" collapsed="false">
      <c r="A50" s="107" t="s">
        <v>2273</v>
      </c>
      <c r="B50" s="107" t="n">
        <v>9</v>
      </c>
      <c r="C50" s="107" t="s">
        <v>2037</v>
      </c>
      <c r="D50" s="107" t="s">
        <v>1305</v>
      </c>
      <c r="E50" s="107" t="n">
        <v>0.1</v>
      </c>
      <c r="F50" s="107" t="s">
        <v>1305</v>
      </c>
      <c r="G50" s="107" t="n">
        <v>0.12</v>
      </c>
    </row>
    <row r="51" customFormat="false" ht="15" hidden="false" customHeight="true" outlineLevel="0" collapsed="false">
      <c r="A51" s="107" t="s">
        <v>2274</v>
      </c>
      <c r="B51" s="107" t="n">
        <v>10</v>
      </c>
      <c r="C51" s="107" t="s">
        <v>2037</v>
      </c>
      <c r="D51" s="107"/>
      <c r="E51" s="107"/>
      <c r="F51" s="107"/>
      <c r="G51" s="107"/>
    </row>
    <row r="52" customFormat="false" ht="15" hidden="false" customHeight="true" outlineLevel="0" collapsed="false">
      <c r="A52" s="107" t="s">
        <v>2275</v>
      </c>
      <c r="B52" s="107" t="n">
        <v>11</v>
      </c>
      <c r="C52" s="107" t="s">
        <v>2037</v>
      </c>
      <c r="D52" s="107"/>
      <c r="E52" s="107"/>
      <c r="F52" s="107"/>
      <c r="G52" s="107"/>
    </row>
    <row r="53" customFormat="false" ht="15" hidden="false" customHeight="true" outlineLevel="0" collapsed="false">
      <c r="A53" s="107" t="s">
        <v>2276</v>
      </c>
      <c r="B53" s="107" t="n">
        <v>12</v>
      </c>
      <c r="C53" s="107" t="s">
        <v>2037</v>
      </c>
      <c r="D53" s="107"/>
      <c r="E53" s="107"/>
      <c r="F53" s="107"/>
      <c r="G53" s="107"/>
    </row>
    <row r="54" customFormat="false" ht="15" hidden="false" customHeight="true" outlineLevel="0" collapsed="false">
      <c r="A54" s="107" t="s">
        <v>2277</v>
      </c>
      <c r="B54" s="107" t="n">
        <v>13</v>
      </c>
      <c r="C54" s="107" t="s">
        <v>2229</v>
      </c>
      <c r="D54" s="107" t="s">
        <v>1137</v>
      </c>
      <c r="E54" s="107" t="n">
        <v>0.15</v>
      </c>
      <c r="F54" s="107" t="s">
        <v>1137</v>
      </c>
      <c r="G54" s="107" t="n">
        <v>0.18</v>
      </c>
    </row>
    <row r="55" customFormat="false" ht="15" hidden="false" customHeight="true" outlineLevel="0" collapsed="false">
      <c r="A55" s="107" t="s">
        <v>2278</v>
      </c>
      <c r="B55" s="107" t="n">
        <v>14</v>
      </c>
      <c r="C55" s="107" t="s">
        <v>2229</v>
      </c>
      <c r="D55" s="107" t="s">
        <v>2279</v>
      </c>
      <c r="E55" s="107" t="n">
        <v>0.1</v>
      </c>
      <c r="F55" s="107" t="s">
        <v>2279</v>
      </c>
      <c r="G55" s="107" t="n">
        <v>0.08</v>
      </c>
    </row>
    <row r="56" customFormat="false" ht="15" hidden="false" customHeight="true" outlineLevel="0" collapsed="false">
      <c r="A56" s="107" t="s">
        <v>2280</v>
      </c>
      <c r="B56" s="107" t="n">
        <v>15</v>
      </c>
      <c r="C56" s="107" t="s">
        <v>2229</v>
      </c>
      <c r="D56" s="107" t="s">
        <v>1179</v>
      </c>
      <c r="E56" s="107" t="n">
        <v>0.05</v>
      </c>
      <c r="F56" s="107" t="s">
        <v>1179</v>
      </c>
      <c r="G56" s="107" t="n">
        <v>0.04</v>
      </c>
    </row>
    <row r="57" customFormat="false" ht="15" hidden="false" customHeight="true" outlineLevel="0" collapsed="false">
      <c r="A57" s="107" t="s">
        <v>2281</v>
      </c>
      <c r="B57" s="107" t="n">
        <v>16</v>
      </c>
      <c r="C57" s="107" t="s">
        <v>2229</v>
      </c>
      <c r="D57" s="107" t="s">
        <v>2282</v>
      </c>
      <c r="E57" s="107" t="n">
        <v>0.02</v>
      </c>
      <c r="F57" s="107" t="s">
        <v>2282</v>
      </c>
      <c r="G57" s="107" t="n">
        <v>0.03</v>
      </c>
    </row>
    <row r="58" customFormat="false" ht="15" hidden="false" customHeight="true" outlineLevel="0" collapsed="false">
      <c r="A58" s="107" t="s">
        <v>2283</v>
      </c>
      <c r="B58" s="107" t="n">
        <v>17</v>
      </c>
      <c r="C58" s="107" t="s">
        <v>2229</v>
      </c>
      <c r="D58" s="107"/>
      <c r="E58" s="107"/>
      <c r="F58" s="107"/>
      <c r="G58" s="107"/>
    </row>
    <row r="59" customFormat="false" ht="15" hidden="false" customHeight="true" outlineLevel="0" collapsed="false">
      <c r="A59" s="107" t="s">
        <v>2284</v>
      </c>
      <c r="B59" s="107" t="n">
        <v>18</v>
      </c>
      <c r="C59" s="107" t="s">
        <v>2229</v>
      </c>
      <c r="D59" s="107"/>
      <c r="E59" s="107"/>
      <c r="F59" s="107"/>
      <c r="G59" s="107"/>
    </row>
    <row r="60" customFormat="false" ht="15" hidden="false" customHeight="true" outlineLevel="0" collapsed="false">
      <c r="A60" s="107" t="s">
        <v>2285</v>
      </c>
      <c r="B60" s="107" t="n">
        <v>19</v>
      </c>
      <c r="C60" s="107" t="s">
        <v>2229</v>
      </c>
      <c r="D60" s="107"/>
      <c r="E60" s="107"/>
      <c r="F60" s="107"/>
      <c r="G60" s="107"/>
    </row>
    <row r="61" customFormat="false" ht="15" hidden="false" customHeight="true" outlineLevel="0" collapsed="false">
      <c r="A61" s="107" t="s">
        <v>2286</v>
      </c>
      <c r="B61" s="107" t="n">
        <v>20</v>
      </c>
      <c r="C61" s="107" t="s">
        <v>1328</v>
      </c>
      <c r="D61" s="107" t="s">
        <v>1328</v>
      </c>
      <c r="E61" s="107" t="n">
        <v>83.08</v>
      </c>
      <c r="F61" s="107" t="s">
        <v>1328</v>
      </c>
      <c r="G61" s="107" t="n">
        <v>82.55</v>
      </c>
    </row>
    <row r="62" customFormat="false" ht="15" hidden="false" customHeight="true" outlineLevel="0" collapsed="false">
      <c r="A62" s="107" t="s">
        <v>2287</v>
      </c>
      <c r="B62" s="107" t="n">
        <v>1</v>
      </c>
      <c r="C62" s="107" t="s">
        <v>1950</v>
      </c>
      <c r="D62" s="107" t="s">
        <v>889</v>
      </c>
      <c r="E62" s="107" t="n">
        <v>12</v>
      </c>
      <c r="F62" s="107" t="s">
        <v>889</v>
      </c>
      <c r="G62" s="107" t="n">
        <v>10</v>
      </c>
    </row>
    <row r="63" customFormat="false" ht="15" hidden="false" customHeight="true" outlineLevel="0" collapsed="false">
      <c r="A63" s="107" t="s">
        <v>2288</v>
      </c>
      <c r="B63" s="107" t="n">
        <v>2</v>
      </c>
      <c r="C63" s="107" t="s">
        <v>1950</v>
      </c>
      <c r="D63" s="107" t="s">
        <v>2289</v>
      </c>
      <c r="E63" s="107" t="n">
        <v>3</v>
      </c>
      <c r="F63" s="107" t="s">
        <v>2289</v>
      </c>
      <c r="G63" s="107" t="n">
        <v>5</v>
      </c>
    </row>
    <row r="64" customFormat="false" ht="15" hidden="false" customHeight="true" outlineLevel="0" collapsed="false">
      <c r="A64" s="107" t="s">
        <v>2290</v>
      </c>
      <c r="B64" s="107" t="n">
        <v>3</v>
      </c>
      <c r="C64" s="107" t="s">
        <v>1950</v>
      </c>
      <c r="D64" s="107"/>
      <c r="E64" s="107"/>
      <c r="F64" s="107"/>
      <c r="G64" s="107"/>
    </row>
    <row r="65" customFormat="false" ht="15" hidden="false" customHeight="true" outlineLevel="0" collapsed="false">
      <c r="A65" s="107" t="s">
        <v>2291</v>
      </c>
      <c r="B65" s="107" t="n">
        <v>4</v>
      </c>
      <c r="C65" s="107" t="s">
        <v>1950</v>
      </c>
      <c r="D65" s="107"/>
      <c r="E65" s="107"/>
      <c r="F65" s="107"/>
      <c r="G65" s="107"/>
    </row>
    <row r="66" customFormat="false" ht="15" hidden="false" customHeight="true" outlineLevel="0" collapsed="false">
      <c r="A66" s="107" t="s">
        <v>2292</v>
      </c>
      <c r="B66" s="107" t="n">
        <v>5</v>
      </c>
      <c r="C66" s="107" t="s">
        <v>994</v>
      </c>
      <c r="D66" s="107" t="s">
        <v>1004</v>
      </c>
      <c r="E66" s="107" t="n">
        <v>9</v>
      </c>
      <c r="F66" s="107" t="s">
        <v>1004</v>
      </c>
      <c r="G66" s="107" t="n">
        <v>8</v>
      </c>
    </row>
    <row r="67" customFormat="false" ht="15" hidden="false" customHeight="true" outlineLevel="0" collapsed="false">
      <c r="A67" s="107" t="s">
        <v>2293</v>
      </c>
      <c r="B67" s="107" t="n">
        <v>6</v>
      </c>
      <c r="C67" s="107" t="s">
        <v>994</v>
      </c>
      <c r="D67" s="107"/>
      <c r="E67" s="107"/>
      <c r="F67" s="107" t="s">
        <v>996</v>
      </c>
      <c r="G67" s="107" t="n">
        <v>1.5</v>
      </c>
    </row>
    <row r="68" customFormat="false" ht="15" hidden="false" customHeight="true" outlineLevel="0" collapsed="false">
      <c r="A68" s="107" t="s">
        <v>2294</v>
      </c>
      <c r="B68" s="107" t="n">
        <v>7</v>
      </c>
      <c r="C68" s="107" t="s">
        <v>994</v>
      </c>
      <c r="D68" s="107"/>
      <c r="E68" s="107"/>
      <c r="F68" s="107"/>
      <c r="G68" s="107"/>
    </row>
    <row r="69" customFormat="false" ht="15" hidden="false" customHeight="true" outlineLevel="0" collapsed="false">
      <c r="A69" s="107" t="s">
        <v>2295</v>
      </c>
      <c r="B69" s="107" t="n">
        <v>8</v>
      </c>
      <c r="C69" s="107" t="s">
        <v>994</v>
      </c>
      <c r="D69" s="107"/>
      <c r="E69" s="107"/>
      <c r="F69" s="107"/>
      <c r="G69" s="107"/>
    </row>
    <row r="70" customFormat="false" ht="15" hidden="false" customHeight="true" outlineLevel="0" collapsed="false">
      <c r="A70" s="107" t="s">
        <v>2296</v>
      </c>
      <c r="B70" s="107" t="n">
        <v>9</v>
      </c>
      <c r="C70" s="107" t="s">
        <v>2037</v>
      </c>
      <c r="D70" s="107" t="s">
        <v>1305</v>
      </c>
      <c r="E70" s="107" t="n">
        <v>0.15</v>
      </c>
      <c r="F70" s="107" t="s">
        <v>1305</v>
      </c>
      <c r="G70" s="107" t="n">
        <v>0.15</v>
      </c>
    </row>
    <row r="71" customFormat="false" ht="15" hidden="false" customHeight="true" outlineLevel="0" collapsed="false">
      <c r="A71" s="107" t="s">
        <v>2297</v>
      </c>
      <c r="B71" s="107" t="n">
        <v>10</v>
      </c>
      <c r="C71" s="107" t="s">
        <v>2037</v>
      </c>
      <c r="D71" s="107"/>
      <c r="E71" s="107"/>
      <c r="F71" s="107"/>
      <c r="G71" s="107"/>
    </row>
    <row r="72" customFormat="false" ht="15" hidden="false" customHeight="true" outlineLevel="0" collapsed="false">
      <c r="A72" s="107" t="s">
        <v>2298</v>
      </c>
      <c r="B72" s="107" t="n">
        <v>11</v>
      </c>
      <c r="C72" s="107" t="s">
        <v>2037</v>
      </c>
      <c r="D72" s="107"/>
      <c r="E72" s="107"/>
      <c r="F72" s="107"/>
      <c r="G72" s="107"/>
    </row>
    <row r="73" customFormat="false" ht="15" hidden="false" customHeight="true" outlineLevel="0" collapsed="false">
      <c r="A73" s="107" t="s">
        <v>2299</v>
      </c>
      <c r="B73" s="107" t="n">
        <v>12</v>
      </c>
      <c r="C73" s="107" t="s">
        <v>2037</v>
      </c>
      <c r="D73" s="107"/>
      <c r="E73" s="107"/>
      <c r="F73" s="107"/>
      <c r="G73" s="107"/>
    </row>
    <row r="74" customFormat="false" ht="15" hidden="false" customHeight="true" outlineLevel="0" collapsed="false">
      <c r="A74" s="107" t="s">
        <v>2300</v>
      </c>
      <c r="B74" s="107" t="n">
        <v>13</v>
      </c>
      <c r="C74" s="107" t="s">
        <v>2229</v>
      </c>
      <c r="D74" s="107" t="s">
        <v>1137</v>
      </c>
      <c r="E74" s="107" t="n">
        <v>0.3</v>
      </c>
      <c r="F74" s="107" t="s">
        <v>1137</v>
      </c>
      <c r="G74" s="107" t="n">
        <v>0.25</v>
      </c>
    </row>
    <row r="75" customFormat="false" ht="15" hidden="false" customHeight="true" outlineLevel="0" collapsed="false">
      <c r="A75" s="107" t="s">
        <v>2301</v>
      </c>
      <c r="B75" s="107" t="n">
        <v>14</v>
      </c>
      <c r="C75" s="107" t="s">
        <v>2229</v>
      </c>
      <c r="D75" s="107" t="s">
        <v>1206</v>
      </c>
      <c r="E75" s="107" t="n">
        <v>0.15</v>
      </c>
      <c r="F75" s="107" t="s">
        <v>1206</v>
      </c>
      <c r="G75" s="107" t="n">
        <v>0.1</v>
      </c>
    </row>
    <row r="76" customFormat="false" ht="15" hidden="false" customHeight="true" outlineLevel="0" collapsed="false">
      <c r="A76" s="107" t="s">
        <v>2302</v>
      </c>
      <c r="B76" s="107" t="n">
        <v>15</v>
      </c>
      <c r="C76" s="107" t="s">
        <v>2229</v>
      </c>
      <c r="D76" s="107" t="s">
        <v>1179</v>
      </c>
      <c r="E76" s="107" t="n">
        <v>0.05</v>
      </c>
      <c r="F76" s="107" t="s">
        <v>1179</v>
      </c>
      <c r="G76" s="107" t="n">
        <v>0.05</v>
      </c>
    </row>
    <row r="77" customFormat="false" ht="15" hidden="false" customHeight="true" outlineLevel="0" collapsed="false">
      <c r="A77" s="107" t="s">
        <v>2303</v>
      </c>
      <c r="B77" s="107" t="n">
        <v>16</v>
      </c>
      <c r="C77" s="107" t="s">
        <v>2229</v>
      </c>
      <c r="D77" s="107" t="s">
        <v>1265</v>
      </c>
      <c r="E77" s="107" t="n">
        <v>0.02</v>
      </c>
      <c r="F77" s="107" t="s">
        <v>1265</v>
      </c>
      <c r="G77" s="107" t="n">
        <v>0.02</v>
      </c>
    </row>
    <row r="78" customFormat="false" ht="15" hidden="false" customHeight="true" outlineLevel="0" collapsed="false">
      <c r="A78" s="107" t="s">
        <v>2304</v>
      </c>
      <c r="B78" s="107" t="n">
        <v>17</v>
      </c>
      <c r="C78" s="107" t="s">
        <v>2229</v>
      </c>
      <c r="D78" s="107"/>
      <c r="E78" s="107"/>
      <c r="F78" s="107"/>
      <c r="G78" s="107"/>
    </row>
    <row r="79" customFormat="false" ht="15" hidden="false" customHeight="true" outlineLevel="0" collapsed="false">
      <c r="A79" s="107" t="s">
        <v>2305</v>
      </c>
      <c r="B79" s="107" t="n">
        <v>18</v>
      </c>
      <c r="C79" s="107" t="s">
        <v>2229</v>
      </c>
      <c r="D79" s="107"/>
      <c r="E79" s="107"/>
      <c r="F79" s="107"/>
      <c r="G79" s="107"/>
    </row>
    <row r="80" customFormat="false" ht="15" hidden="false" customHeight="true" outlineLevel="0" collapsed="false">
      <c r="A80" s="107" t="s">
        <v>2306</v>
      </c>
      <c r="B80" s="107" t="n">
        <v>19</v>
      </c>
      <c r="C80" s="107" t="s">
        <v>2229</v>
      </c>
      <c r="D80" s="107"/>
      <c r="E80" s="107"/>
      <c r="F80" s="107"/>
      <c r="G80" s="107"/>
    </row>
    <row r="81" customFormat="false" ht="15" hidden="false" customHeight="true" outlineLevel="0" collapsed="false">
      <c r="A81" s="107" t="s">
        <v>2307</v>
      </c>
      <c r="B81" s="107" t="n">
        <v>20</v>
      </c>
      <c r="C81" s="107" t="s">
        <v>1328</v>
      </c>
      <c r="D81" s="107" t="s">
        <v>1328</v>
      </c>
      <c r="E81" s="107" t="n">
        <v>75.33</v>
      </c>
      <c r="F81" s="107" t="s">
        <v>1328</v>
      </c>
      <c r="G81" s="107" t="n">
        <v>74.93</v>
      </c>
    </row>
    <row r="82" customFormat="false" ht="15" hidden="false" customHeight="true" outlineLevel="0" collapsed="false">
      <c r="A82" s="107" t="s">
        <v>2308</v>
      </c>
      <c r="B82" s="107" t="n">
        <v>1</v>
      </c>
      <c r="C82" s="107" t="s">
        <v>1950</v>
      </c>
      <c r="D82" s="107" t="s">
        <v>2309</v>
      </c>
      <c r="E82" s="107" t="n">
        <v>5</v>
      </c>
      <c r="F82" s="107" t="s">
        <v>2309</v>
      </c>
      <c r="G82" s="107" t="n">
        <v>4</v>
      </c>
    </row>
    <row r="83" customFormat="false" ht="15" hidden="false" customHeight="true" outlineLevel="0" collapsed="false">
      <c r="A83" s="107" t="s">
        <v>2310</v>
      </c>
      <c r="B83" s="107" t="n">
        <v>2</v>
      </c>
      <c r="C83" s="107" t="s">
        <v>1950</v>
      </c>
      <c r="D83" s="107" t="s">
        <v>2311</v>
      </c>
      <c r="E83" s="107" t="n">
        <v>8</v>
      </c>
      <c r="F83" s="107" t="s">
        <v>2311</v>
      </c>
      <c r="G83" s="107" t="n">
        <v>10</v>
      </c>
    </row>
    <row r="84" customFormat="false" ht="15" hidden="false" customHeight="true" outlineLevel="0" collapsed="false">
      <c r="A84" s="107" t="s">
        <v>2312</v>
      </c>
      <c r="B84" s="107" t="n">
        <v>3</v>
      </c>
      <c r="C84" s="107" t="s">
        <v>1950</v>
      </c>
      <c r="D84" s="107"/>
      <c r="E84" s="107"/>
      <c r="F84" s="107"/>
      <c r="G84" s="107"/>
    </row>
    <row r="85" customFormat="false" ht="15" hidden="false" customHeight="true" outlineLevel="0" collapsed="false">
      <c r="A85" s="107" t="s">
        <v>2313</v>
      </c>
      <c r="B85" s="107" t="n">
        <v>4</v>
      </c>
      <c r="C85" s="107" t="s">
        <v>1950</v>
      </c>
      <c r="D85" s="107"/>
      <c r="E85" s="107"/>
      <c r="F85" s="107"/>
      <c r="G85" s="107"/>
    </row>
    <row r="86" customFormat="false" ht="15" hidden="false" customHeight="true" outlineLevel="0" collapsed="false">
      <c r="A86" s="107" t="s">
        <v>2314</v>
      </c>
      <c r="B86" s="107" t="n">
        <v>5</v>
      </c>
      <c r="C86" s="107" t="s">
        <v>994</v>
      </c>
      <c r="D86" s="107" t="s">
        <v>1004</v>
      </c>
      <c r="E86" s="107" t="n">
        <v>7</v>
      </c>
      <c r="F86" s="107" t="s">
        <v>1004</v>
      </c>
      <c r="G86" s="107" t="n">
        <v>7.5</v>
      </c>
    </row>
    <row r="87" customFormat="false" ht="15" hidden="false" customHeight="true" outlineLevel="0" collapsed="false">
      <c r="A87" s="107" t="s">
        <v>2315</v>
      </c>
      <c r="B87" s="107" t="n">
        <v>6</v>
      </c>
      <c r="C87" s="107" t="s">
        <v>994</v>
      </c>
      <c r="D87" s="107" t="s">
        <v>996</v>
      </c>
      <c r="E87" s="107" t="n">
        <v>1.5</v>
      </c>
      <c r="F87" s="107" t="s">
        <v>996</v>
      </c>
      <c r="G87" s="107" t="n">
        <v>1</v>
      </c>
    </row>
    <row r="88" customFormat="false" ht="15" hidden="false" customHeight="true" outlineLevel="0" collapsed="false">
      <c r="A88" s="107" t="s">
        <v>2316</v>
      </c>
      <c r="B88" s="107" t="n">
        <v>7</v>
      </c>
      <c r="C88" s="107" t="s">
        <v>994</v>
      </c>
      <c r="D88" s="107"/>
      <c r="E88" s="107"/>
      <c r="F88" s="107"/>
      <c r="G88" s="107"/>
    </row>
    <row r="89" customFormat="false" ht="15" hidden="false" customHeight="true" outlineLevel="0" collapsed="false">
      <c r="A89" s="107" t="s">
        <v>2317</v>
      </c>
      <c r="B89" s="107" t="n">
        <v>8</v>
      </c>
      <c r="C89" s="107" t="s">
        <v>994</v>
      </c>
      <c r="D89" s="107"/>
      <c r="E89" s="107"/>
      <c r="F89" s="107"/>
      <c r="G89" s="107"/>
    </row>
    <row r="90" customFormat="false" ht="15" hidden="false" customHeight="true" outlineLevel="0" collapsed="false">
      <c r="A90" s="107" t="s">
        <v>2318</v>
      </c>
      <c r="B90" s="107" t="n">
        <v>9</v>
      </c>
      <c r="C90" s="107" t="s">
        <v>2037</v>
      </c>
      <c r="D90" s="107" t="s">
        <v>1305</v>
      </c>
      <c r="E90" s="107" t="n">
        <v>0.12</v>
      </c>
      <c r="F90" s="107" t="s">
        <v>1305</v>
      </c>
      <c r="G90" s="107" t="n">
        <v>0.15</v>
      </c>
    </row>
    <row r="91" customFormat="false" ht="15" hidden="false" customHeight="true" outlineLevel="0" collapsed="false">
      <c r="A91" s="107" t="s">
        <v>2319</v>
      </c>
      <c r="B91" s="107" t="n">
        <v>10</v>
      </c>
      <c r="C91" s="107" t="s">
        <v>2037</v>
      </c>
      <c r="D91" s="107"/>
      <c r="E91" s="107"/>
      <c r="F91" s="107"/>
      <c r="G91" s="107"/>
    </row>
    <row r="92" customFormat="false" ht="15" hidden="false" customHeight="true" outlineLevel="0" collapsed="false">
      <c r="A92" s="107" t="s">
        <v>2320</v>
      </c>
      <c r="B92" s="107" t="n">
        <v>11</v>
      </c>
      <c r="C92" s="107" t="s">
        <v>2037</v>
      </c>
      <c r="D92" s="107"/>
      <c r="E92" s="107"/>
      <c r="F92" s="107"/>
      <c r="G92" s="107"/>
    </row>
    <row r="93" customFormat="false" ht="15" hidden="false" customHeight="true" outlineLevel="0" collapsed="false">
      <c r="A93" s="107" t="s">
        <v>2321</v>
      </c>
      <c r="B93" s="107" t="n">
        <v>12</v>
      </c>
      <c r="C93" s="107" t="s">
        <v>2037</v>
      </c>
      <c r="D93" s="107"/>
      <c r="E93" s="107"/>
      <c r="F93" s="107"/>
      <c r="G93" s="107"/>
    </row>
    <row r="94" customFormat="false" ht="15" hidden="false" customHeight="true" outlineLevel="0" collapsed="false">
      <c r="A94" s="107" t="s">
        <v>2322</v>
      </c>
      <c r="B94" s="107" t="n">
        <v>13</v>
      </c>
      <c r="C94" s="107" t="s">
        <v>2229</v>
      </c>
      <c r="D94" s="107" t="s">
        <v>1137</v>
      </c>
      <c r="E94" s="107" t="n">
        <v>0.15</v>
      </c>
      <c r="F94" s="107" t="s">
        <v>1137</v>
      </c>
      <c r="G94" s="107" t="n">
        <v>0.12</v>
      </c>
    </row>
    <row r="95" customFormat="false" ht="15" hidden="false" customHeight="true" outlineLevel="0" collapsed="false">
      <c r="A95" s="107" t="s">
        <v>2323</v>
      </c>
      <c r="B95" s="107" t="n">
        <v>14</v>
      </c>
      <c r="C95" s="107" t="s">
        <v>2229</v>
      </c>
      <c r="D95" s="107" t="s">
        <v>1223</v>
      </c>
      <c r="E95" s="107" t="n">
        <v>0.15</v>
      </c>
      <c r="F95" s="107" t="s">
        <v>1223</v>
      </c>
      <c r="G95" s="107" t="n">
        <v>0.12</v>
      </c>
    </row>
    <row r="96" customFormat="false" ht="15" hidden="false" customHeight="true" outlineLevel="0" collapsed="false">
      <c r="A96" s="107" t="s">
        <v>2324</v>
      </c>
      <c r="B96" s="107" t="n">
        <v>15</v>
      </c>
      <c r="C96" s="107" t="s">
        <v>2229</v>
      </c>
      <c r="D96" s="107" t="s">
        <v>1179</v>
      </c>
      <c r="E96" s="107" t="n">
        <v>0.05</v>
      </c>
      <c r="F96" s="107" t="s">
        <v>1179</v>
      </c>
      <c r="G96" s="107" t="n">
        <v>0.05</v>
      </c>
    </row>
    <row r="97" customFormat="false" ht="15" hidden="false" customHeight="true" outlineLevel="0" collapsed="false">
      <c r="A97" s="107" t="s">
        <v>2325</v>
      </c>
      <c r="B97" s="107" t="n">
        <v>16</v>
      </c>
      <c r="C97" s="107" t="s">
        <v>2229</v>
      </c>
      <c r="D97" s="107" t="s">
        <v>2326</v>
      </c>
      <c r="E97" s="107" t="n">
        <v>0.01</v>
      </c>
      <c r="F97" s="107"/>
      <c r="G97" s="107"/>
    </row>
    <row r="98" customFormat="false" ht="15" hidden="false" customHeight="true" outlineLevel="0" collapsed="false">
      <c r="A98" s="107" t="s">
        <v>2327</v>
      </c>
      <c r="B98" s="107" t="n">
        <v>17</v>
      </c>
      <c r="C98" s="107" t="s">
        <v>2229</v>
      </c>
      <c r="D98" s="107"/>
      <c r="E98" s="107"/>
      <c r="F98" s="107"/>
      <c r="G98" s="107"/>
    </row>
    <row r="99" customFormat="false" ht="15" hidden="false" customHeight="true" outlineLevel="0" collapsed="false">
      <c r="A99" s="107" t="s">
        <v>2328</v>
      </c>
      <c r="B99" s="107" t="n">
        <v>18</v>
      </c>
      <c r="C99" s="107" t="s">
        <v>2229</v>
      </c>
      <c r="D99" s="107"/>
      <c r="E99" s="107"/>
      <c r="F99" s="107"/>
      <c r="G99" s="107"/>
    </row>
    <row r="100" customFormat="false" ht="15" hidden="false" customHeight="true" outlineLevel="0" collapsed="false">
      <c r="A100" s="107" t="s">
        <v>2329</v>
      </c>
      <c r="B100" s="107" t="n">
        <v>19</v>
      </c>
      <c r="C100" s="107" t="s">
        <v>2229</v>
      </c>
      <c r="D100" s="107"/>
      <c r="E100" s="107"/>
      <c r="F100" s="107"/>
      <c r="G100" s="107"/>
    </row>
    <row r="101" customFormat="false" ht="15" hidden="false" customHeight="true" outlineLevel="0" collapsed="false">
      <c r="A101" s="107" t="s">
        <v>2330</v>
      </c>
      <c r="B101" s="107" t="n">
        <v>20</v>
      </c>
      <c r="C101" s="107" t="s">
        <v>1328</v>
      </c>
      <c r="D101" s="107" t="s">
        <v>1328</v>
      </c>
      <c r="E101" s="107" t="n">
        <v>78.02</v>
      </c>
      <c r="F101" s="107" t="s">
        <v>1328</v>
      </c>
      <c r="G101" s="107" t="n">
        <v>77.06</v>
      </c>
    </row>
    <row r="102" customFormat="false" ht="15" hidden="false" customHeight="true" outlineLevel="0" collapsed="false">
      <c r="A102" s="107" t="s">
        <v>2331</v>
      </c>
      <c r="B102" s="107" t="n">
        <v>1</v>
      </c>
      <c r="C102" s="107" t="s">
        <v>1950</v>
      </c>
      <c r="D102" s="107" t="s">
        <v>919</v>
      </c>
      <c r="E102" s="107" t="n">
        <v>4</v>
      </c>
      <c r="F102" s="107" t="s">
        <v>919</v>
      </c>
      <c r="G102" s="107" t="n">
        <v>5</v>
      </c>
    </row>
    <row r="103" customFormat="false" ht="15" hidden="false" customHeight="true" outlineLevel="0" collapsed="false">
      <c r="A103" s="107" t="s">
        <v>2332</v>
      </c>
      <c r="B103" s="107" t="n">
        <v>2</v>
      </c>
      <c r="C103" s="107" t="s">
        <v>1950</v>
      </c>
      <c r="D103" s="107" t="s">
        <v>2333</v>
      </c>
      <c r="E103" s="107" t="n">
        <v>10</v>
      </c>
      <c r="F103" s="107" t="s">
        <v>2333</v>
      </c>
      <c r="G103" s="107" t="n">
        <v>8</v>
      </c>
    </row>
    <row r="104" customFormat="false" ht="15" hidden="false" customHeight="true" outlineLevel="0" collapsed="false">
      <c r="A104" s="107" t="s">
        <v>2334</v>
      </c>
      <c r="B104" s="107" t="n">
        <v>3</v>
      </c>
      <c r="C104" s="107" t="s">
        <v>1950</v>
      </c>
      <c r="D104" s="107"/>
      <c r="E104" s="107"/>
      <c r="F104" s="107"/>
      <c r="G104" s="107"/>
    </row>
    <row r="105" customFormat="false" ht="15" hidden="false" customHeight="true" outlineLevel="0" collapsed="false">
      <c r="A105" s="107" t="s">
        <v>2335</v>
      </c>
      <c r="B105" s="107" t="n">
        <v>4</v>
      </c>
      <c r="C105" s="107" t="s">
        <v>1950</v>
      </c>
      <c r="D105" s="107"/>
      <c r="E105" s="107"/>
      <c r="F105" s="107"/>
      <c r="G105" s="107"/>
    </row>
    <row r="106" customFormat="false" ht="15" hidden="false" customHeight="true" outlineLevel="0" collapsed="false">
      <c r="A106" s="107" t="s">
        <v>2336</v>
      </c>
      <c r="B106" s="107" t="n">
        <v>5</v>
      </c>
      <c r="C106" s="107" t="s">
        <v>994</v>
      </c>
      <c r="D106" s="107" t="s">
        <v>1004</v>
      </c>
      <c r="E106" s="107" t="n">
        <v>7</v>
      </c>
      <c r="F106" s="107" t="s">
        <v>1004</v>
      </c>
      <c r="G106" s="107" t="n">
        <v>6</v>
      </c>
    </row>
    <row r="107" customFormat="false" ht="15" hidden="false" customHeight="true" outlineLevel="0" collapsed="false">
      <c r="A107" s="107" t="s">
        <v>2337</v>
      </c>
      <c r="B107" s="107" t="n">
        <v>6</v>
      </c>
      <c r="C107" s="107" t="s">
        <v>994</v>
      </c>
      <c r="D107" s="107" t="s">
        <v>996</v>
      </c>
      <c r="E107" s="107" t="n">
        <v>1.5</v>
      </c>
      <c r="F107" s="107" t="s">
        <v>996</v>
      </c>
      <c r="G107" s="107" t="n">
        <v>2</v>
      </c>
    </row>
    <row r="108" customFormat="false" ht="15" hidden="false" customHeight="true" outlineLevel="0" collapsed="false">
      <c r="A108" s="107" t="s">
        <v>2338</v>
      </c>
      <c r="B108" s="107" t="n">
        <v>7</v>
      </c>
      <c r="C108" s="107" t="s">
        <v>994</v>
      </c>
      <c r="D108" s="107"/>
      <c r="E108" s="107"/>
      <c r="F108" s="107"/>
      <c r="G108" s="107"/>
    </row>
    <row r="109" customFormat="false" ht="15" hidden="false" customHeight="true" outlineLevel="0" collapsed="false">
      <c r="A109" s="107" t="s">
        <v>2339</v>
      </c>
      <c r="B109" s="107" t="n">
        <v>8</v>
      </c>
      <c r="C109" s="107" t="s">
        <v>994</v>
      </c>
      <c r="D109" s="107"/>
      <c r="E109" s="107"/>
      <c r="F109" s="107"/>
      <c r="G109" s="107"/>
    </row>
    <row r="110" customFormat="false" ht="15" hidden="false" customHeight="true" outlineLevel="0" collapsed="false">
      <c r="A110" s="107" t="s">
        <v>2340</v>
      </c>
      <c r="B110" s="107" t="n">
        <v>9</v>
      </c>
      <c r="C110" s="107" t="s">
        <v>2037</v>
      </c>
      <c r="D110" s="107" t="s">
        <v>1305</v>
      </c>
      <c r="E110" s="107" t="n">
        <v>0.12</v>
      </c>
      <c r="F110" s="107" t="s">
        <v>1305</v>
      </c>
      <c r="G110" s="107" t="n">
        <v>0.1</v>
      </c>
    </row>
    <row r="111" customFormat="false" ht="15" hidden="false" customHeight="true" outlineLevel="0" collapsed="false">
      <c r="A111" s="107" t="s">
        <v>2341</v>
      </c>
      <c r="B111" s="107" t="n">
        <v>10</v>
      </c>
      <c r="C111" s="107" t="s">
        <v>2037</v>
      </c>
      <c r="D111" s="107"/>
      <c r="E111" s="107"/>
      <c r="F111" s="107"/>
      <c r="G111" s="107"/>
    </row>
    <row r="112" customFormat="false" ht="15" hidden="false" customHeight="true" outlineLevel="0" collapsed="false">
      <c r="A112" s="107" t="s">
        <v>2342</v>
      </c>
      <c r="B112" s="107" t="n">
        <v>11</v>
      </c>
      <c r="C112" s="107" t="s">
        <v>2037</v>
      </c>
      <c r="D112" s="107"/>
      <c r="E112" s="107"/>
      <c r="F112" s="107"/>
      <c r="G112" s="107"/>
    </row>
    <row r="113" customFormat="false" ht="15" hidden="false" customHeight="true" outlineLevel="0" collapsed="false">
      <c r="A113" s="107" t="s">
        <v>2343</v>
      </c>
      <c r="B113" s="107" t="n">
        <v>12</v>
      </c>
      <c r="C113" s="107" t="s">
        <v>2037</v>
      </c>
      <c r="D113" s="107"/>
      <c r="E113" s="107"/>
      <c r="F113" s="107"/>
      <c r="G113" s="107"/>
    </row>
    <row r="114" customFormat="false" ht="15" hidden="false" customHeight="true" outlineLevel="0" collapsed="false">
      <c r="A114" s="107" t="s">
        <v>2344</v>
      </c>
      <c r="B114" s="107" t="n">
        <v>13</v>
      </c>
      <c r="C114" s="107" t="s">
        <v>2229</v>
      </c>
      <c r="D114" s="107" t="s">
        <v>1137</v>
      </c>
      <c r="E114" s="107" t="n">
        <v>0.15</v>
      </c>
      <c r="F114" s="107" t="s">
        <v>1137</v>
      </c>
      <c r="G114" s="107" t="n">
        <v>0.1</v>
      </c>
    </row>
    <row r="115" customFormat="false" ht="15" hidden="false" customHeight="true" outlineLevel="0" collapsed="false">
      <c r="A115" s="107" t="s">
        <v>2345</v>
      </c>
      <c r="B115" s="107" t="n">
        <v>14</v>
      </c>
      <c r="C115" s="107" t="s">
        <v>2229</v>
      </c>
      <c r="D115" s="107" t="s">
        <v>2346</v>
      </c>
      <c r="E115" s="107" t="n">
        <v>0.15</v>
      </c>
      <c r="F115" s="107" t="s">
        <v>2346</v>
      </c>
      <c r="G115" s="107" t="n">
        <v>0.12</v>
      </c>
    </row>
    <row r="116" customFormat="false" ht="15" hidden="false" customHeight="true" outlineLevel="0" collapsed="false">
      <c r="A116" s="107" t="s">
        <v>2347</v>
      </c>
      <c r="B116" s="107" t="n">
        <v>15</v>
      </c>
      <c r="C116" s="107" t="s">
        <v>2229</v>
      </c>
      <c r="D116" s="107" t="s">
        <v>1179</v>
      </c>
      <c r="E116" s="107" t="n">
        <v>0.05</v>
      </c>
      <c r="F116" s="107" t="s">
        <v>1179</v>
      </c>
      <c r="G116" s="107" t="n">
        <v>0.05</v>
      </c>
    </row>
    <row r="117" customFormat="false" ht="15" hidden="false" customHeight="true" outlineLevel="0" collapsed="false">
      <c r="A117" s="107" t="s">
        <v>2348</v>
      </c>
      <c r="B117" s="107" t="n">
        <v>16</v>
      </c>
      <c r="C117" s="107" t="s">
        <v>2229</v>
      </c>
      <c r="D117" s="107" t="s">
        <v>1265</v>
      </c>
      <c r="E117" s="107" t="n">
        <v>0.02</v>
      </c>
      <c r="F117" s="107" t="s">
        <v>1265</v>
      </c>
      <c r="G117" s="107" t="n">
        <v>0.02</v>
      </c>
    </row>
    <row r="118" customFormat="false" ht="15" hidden="false" customHeight="true" outlineLevel="0" collapsed="false">
      <c r="A118" s="107" t="s">
        <v>2349</v>
      </c>
      <c r="B118" s="107" t="n">
        <v>17</v>
      </c>
      <c r="C118" s="107" t="s">
        <v>2229</v>
      </c>
      <c r="D118" s="107"/>
      <c r="E118" s="107"/>
      <c r="F118" s="107"/>
      <c r="G118" s="107"/>
    </row>
    <row r="119" customFormat="false" ht="15" hidden="false" customHeight="true" outlineLevel="0" collapsed="false">
      <c r="A119" s="107" t="s">
        <v>2350</v>
      </c>
      <c r="B119" s="107" t="n">
        <v>18</v>
      </c>
      <c r="C119" s="107" t="s">
        <v>2229</v>
      </c>
      <c r="D119" s="107"/>
      <c r="E119" s="107"/>
      <c r="F119" s="107"/>
      <c r="G119" s="107"/>
    </row>
    <row r="120" customFormat="false" ht="15" hidden="false" customHeight="true" outlineLevel="0" collapsed="false">
      <c r="A120" s="107" t="s">
        <v>2351</v>
      </c>
      <c r="B120" s="107" t="n">
        <v>19</v>
      </c>
      <c r="C120" s="107" t="s">
        <v>2229</v>
      </c>
      <c r="D120" s="107"/>
      <c r="E120" s="107"/>
      <c r="F120" s="107"/>
      <c r="G120" s="107"/>
    </row>
    <row r="121" customFormat="false" ht="15" hidden="false" customHeight="true" outlineLevel="0" collapsed="false">
      <c r="A121" s="107" t="s">
        <v>2352</v>
      </c>
      <c r="B121" s="107" t="n">
        <v>20</v>
      </c>
      <c r="C121" s="107" t="s">
        <v>1328</v>
      </c>
      <c r="D121" s="107" t="s">
        <v>1328</v>
      </c>
      <c r="E121" s="107" t="n">
        <v>77.01</v>
      </c>
      <c r="F121" s="107" t="s">
        <v>1328</v>
      </c>
      <c r="G121" s="107" t="n">
        <v>78.61</v>
      </c>
    </row>
    <row r="122" customFormat="false" ht="15" hidden="false" customHeight="true" outlineLevel="0" collapsed="false">
      <c r="A122" s="107" t="s">
        <v>2353</v>
      </c>
      <c r="B122" s="107" t="n">
        <v>1</v>
      </c>
      <c r="C122" s="107" t="s">
        <v>1950</v>
      </c>
      <c r="D122" s="107" t="s">
        <v>942</v>
      </c>
      <c r="E122" s="107" t="n">
        <v>18</v>
      </c>
      <c r="F122" s="107" t="s">
        <v>942</v>
      </c>
      <c r="G122" s="107" t="n">
        <v>20</v>
      </c>
    </row>
    <row r="123" customFormat="false" ht="15" hidden="false" customHeight="true" outlineLevel="0" collapsed="false">
      <c r="A123" s="107" t="s">
        <v>2354</v>
      </c>
      <c r="B123" s="107" t="n">
        <v>2</v>
      </c>
      <c r="C123" s="107" t="s">
        <v>1950</v>
      </c>
      <c r="D123" s="107"/>
      <c r="E123" s="107"/>
      <c r="F123" s="107"/>
      <c r="G123" s="107"/>
    </row>
    <row r="124" customFormat="false" ht="15" hidden="false" customHeight="true" outlineLevel="0" collapsed="false">
      <c r="A124" s="107" t="s">
        <v>2355</v>
      </c>
      <c r="B124" s="107" t="n">
        <v>3</v>
      </c>
      <c r="C124" s="107" t="s">
        <v>1950</v>
      </c>
      <c r="D124" s="107"/>
      <c r="E124" s="107"/>
      <c r="F124" s="107"/>
      <c r="G124" s="107"/>
    </row>
    <row r="125" customFormat="false" ht="15" hidden="false" customHeight="true" outlineLevel="0" collapsed="false">
      <c r="A125" s="107" t="s">
        <v>2356</v>
      </c>
      <c r="B125" s="107" t="n">
        <v>4</v>
      </c>
      <c r="C125" s="107" t="s">
        <v>1950</v>
      </c>
      <c r="D125" s="107"/>
      <c r="E125" s="107"/>
      <c r="F125" s="107"/>
      <c r="G125" s="107"/>
    </row>
    <row r="126" customFormat="false" ht="15" hidden="false" customHeight="true" outlineLevel="0" collapsed="false">
      <c r="A126" s="107" t="s">
        <v>2357</v>
      </c>
      <c r="B126" s="107" t="n">
        <v>5</v>
      </c>
      <c r="C126" s="107" t="s">
        <v>994</v>
      </c>
      <c r="D126" s="107"/>
      <c r="E126" s="107"/>
      <c r="F126" s="107"/>
      <c r="G126" s="107"/>
    </row>
    <row r="127" customFormat="false" ht="15" hidden="false" customHeight="true" outlineLevel="0" collapsed="false">
      <c r="A127" s="107" t="s">
        <v>2358</v>
      </c>
      <c r="B127" s="107" t="n">
        <v>6</v>
      </c>
      <c r="C127" s="107" t="s">
        <v>994</v>
      </c>
      <c r="D127" s="107"/>
      <c r="E127" s="107"/>
      <c r="F127" s="107"/>
      <c r="G127" s="107"/>
    </row>
    <row r="128" customFormat="false" ht="15" hidden="false" customHeight="true" outlineLevel="0" collapsed="false">
      <c r="A128" s="107" t="s">
        <v>2359</v>
      </c>
      <c r="B128" s="107" t="n">
        <v>7</v>
      </c>
      <c r="C128" s="107" t="s">
        <v>994</v>
      </c>
      <c r="D128" s="107"/>
      <c r="E128" s="107"/>
      <c r="F128" s="107"/>
      <c r="G128" s="107"/>
    </row>
    <row r="129" customFormat="false" ht="15" hidden="false" customHeight="true" outlineLevel="0" collapsed="false">
      <c r="A129" s="107" t="s">
        <v>2360</v>
      </c>
      <c r="B129" s="107" t="n">
        <v>8</v>
      </c>
      <c r="C129" s="107" t="s">
        <v>994</v>
      </c>
      <c r="D129" s="107"/>
      <c r="E129" s="107"/>
      <c r="F129" s="107"/>
      <c r="G129" s="107"/>
    </row>
    <row r="130" customFormat="false" ht="15" hidden="false" customHeight="true" outlineLevel="0" collapsed="false">
      <c r="A130" s="107" t="s">
        <v>2361</v>
      </c>
      <c r="B130" s="107" t="n">
        <v>9</v>
      </c>
      <c r="C130" s="107" t="s">
        <v>2037</v>
      </c>
      <c r="D130" s="107"/>
      <c r="E130" s="107"/>
      <c r="F130" s="107"/>
      <c r="G130" s="107"/>
    </row>
    <row r="131" customFormat="false" ht="15" hidden="false" customHeight="true" outlineLevel="0" collapsed="false">
      <c r="A131" s="107" t="s">
        <v>2362</v>
      </c>
      <c r="B131" s="107" t="n">
        <v>10</v>
      </c>
      <c r="C131" s="107" t="s">
        <v>2037</v>
      </c>
      <c r="D131" s="107"/>
      <c r="E131" s="107"/>
      <c r="F131" s="107"/>
      <c r="G131" s="107"/>
    </row>
    <row r="132" customFormat="false" ht="15" hidden="false" customHeight="true" outlineLevel="0" collapsed="false">
      <c r="A132" s="107" t="s">
        <v>2363</v>
      </c>
      <c r="B132" s="107" t="n">
        <v>11</v>
      </c>
      <c r="C132" s="107" t="s">
        <v>2037</v>
      </c>
      <c r="D132" s="107"/>
      <c r="E132" s="107"/>
      <c r="F132" s="107"/>
      <c r="G132" s="107"/>
    </row>
    <row r="133" customFormat="false" ht="15" hidden="false" customHeight="true" outlineLevel="0" collapsed="false">
      <c r="A133" s="107" t="s">
        <v>2364</v>
      </c>
      <c r="B133" s="107" t="n">
        <v>12</v>
      </c>
      <c r="C133" s="107" t="s">
        <v>2037</v>
      </c>
      <c r="D133" s="107"/>
      <c r="E133" s="107"/>
      <c r="F133" s="107"/>
      <c r="G133" s="107"/>
    </row>
    <row r="134" customFormat="false" ht="15" hidden="false" customHeight="true" outlineLevel="0" collapsed="false">
      <c r="A134" s="107" t="s">
        <v>2365</v>
      </c>
      <c r="B134" s="107" t="n">
        <v>13</v>
      </c>
      <c r="C134" s="107" t="s">
        <v>2229</v>
      </c>
      <c r="D134" s="107" t="s">
        <v>1179</v>
      </c>
      <c r="E134" s="107" t="n">
        <v>0.03</v>
      </c>
      <c r="F134" s="107" t="s">
        <v>1179</v>
      </c>
      <c r="G134" s="107" t="n">
        <v>0.05</v>
      </c>
    </row>
    <row r="135" customFormat="false" ht="15" hidden="false" customHeight="true" outlineLevel="0" collapsed="false">
      <c r="A135" s="107" t="s">
        <v>2366</v>
      </c>
      <c r="B135" s="107" t="n">
        <v>14</v>
      </c>
      <c r="C135" s="107" t="s">
        <v>2229</v>
      </c>
      <c r="D135" s="107"/>
      <c r="E135" s="107"/>
      <c r="F135" s="107"/>
      <c r="G135" s="107"/>
    </row>
    <row r="136" customFormat="false" ht="15" hidden="false" customHeight="true" outlineLevel="0" collapsed="false">
      <c r="A136" s="107" t="s">
        <v>2367</v>
      </c>
      <c r="B136" s="107" t="n">
        <v>15</v>
      </c>
      <c r="C136" s="107" t="s">
        <v>2229</v>
      </c>
      <c r="D136" s="107"/>
      <c r="E136" s="107"/>
      <c r="F136" s="107"/>
      <c r="G136" s="107"/>
    </row>
    <row r="137" customFormat="false" ht="15" hidden="false" customHeight="true" outlineLevel="0" collapsed="false">
      <c r="A137" s="107" t="s">
        <v>2368</v>
      </c>
      <c r="B137" s="107" t="n">
        <v>16</v>
      </c>
      <c r="C137" s="107" t="s">
        <v>2229</v>
      </c>
      <c r="D137" s="107"/>
      <c r="E137" s="107"/>
      <c r="F137" s="107"/>
      <c r="G137" s="107"/>
    </row>
    <row r="138" customFormat="false" ht="15" hidden="false" customHeight="true" outlineLevel="0" collapsed="false">
      <c r="A138" s="107" t="s">
        <v>2369</v>
      </c>
      <c r="B138" s="107" t="n">
        <v>17</v>
      </c>
      <c r="C138" s="107" t="s">
        <v>2229</v>
      </c>
      <c r="D138" s="107"/>
      <c r="E138" s="107"/>
      <c r="F138" s="107"/>
      <c r="G138" s="107"/>
    </row>
    <row r="139" customFormat="false" ht="15" hidden="false" customHeight="true" outlineLevel="0" collapsed="false">
      <c r="A139" s="107" t="s">
        <v>2370</v>
      </c>
      <c r="B139" s="107" t="n">
        <v>18</v>
      </c>
      <c r="C139" s="107" t="s">
        <v>2229</v>
      </c>
      <c r="D139" s="107"/>
      <c r="E139" s="107"/>
      <c r="F139" s="107"/>
      <c r="G139" s="107"/>
    </row>
    <row r="140" customFormat="false" ht="15" hidden="false" customHeight="true" outlineLevel="0" collapsed="false">
      <c r="A140" s="107" t="s">
        <v>2371</v>
      </c>
      <c r="B140" s="107" t="n">
        <v>19</v>
      </c>
      <c r="C140" s="107" t="s">
        <v>2229</v>
      </c>
      <c r="D140" s="107"/>
      <c r="E140" s="107"/>
      <c r="F140" s="107"/>
      <c r="G140" s="107"/>
    </row>
    <row r="141" customFormat="false" ht="15" hidden="false" customHeight="true" outlineLevel="0" collapsed="false">
      <c r="A141" s="107" t="s">
        <v>2372</v>
      </c>
      <c r="B141" s="107" t="n">
        <v>20</v>
      </c>
      <c r="C141" s="107" t="s">
        <v>1328</v>
      </c>
      <c r="D141" s="107" t="s">
        <v>1328</v>
      </c>
      <c r="E141" s="107" t="n">
        <v>81.97</v>
      </c>
      <c r="F141" s="107" t="s">
        <v>1328</v>
      </c>
      <c r="G141" s="107" t="n">
        <v>79.95</v>
      </c>
    </row>
    <row r="142" customFormat="false" ht="15" hidden="false" customHeight="true" outlineLevel="0" collapsed="false">
      <c r="A142" s="107" t="s">
        <v>2373</v>
      </c>
      <c r="B142" s="107" t="n">
        <v>1</v>
      </c>
      <c r="C142" s="107" t="s">
        <v>1950</v>
      </c>
      <c r="D142" s="107" t="s">
        <v>889</v>
      </c>
      <c r="E142" s="107" t="n">
        <v>20</v>
      </c>
      <c r="F142" s="107" t="s">
        <v>889</v>
      </c>
      <c r="G142" s="107" t="n">
        <v>18</v>
      </c>
    </row>
    <row r="143" customFormat="false" ht="15" hidden="false" customHeight="true" outlineLevel="0" collapsed="false">
      <c r="A143" s="107" t="s">
        <v>2374</v>
      </c>
      <c r="B143" s="107" t="n">
        <v>2</v>
      </c>
      <c r="C143" s="107" t="s">
        <v>1950</v>
      </c>
      <c r="D143" s="107"/>
      <c r="E143" s="107"/>
      <c r="F143" s="107"/>
      <c r="G143" s="107"/>
    </row>
    <row r="144" customFormat="false" ht="15" hidden="false" customHeight="true" outlineLevel="0" collapsed="false">
      <c r="A144" s="107" t="s">
        <v>2375</v>
      </c>
      <c r="B144" s="107" t="n">
        <v>3</v>
      </c>
      <c r="C144" s="107" t="s">
        <v>1950</v>
      </c>
      <c r="D144" s="107"/>
      <c r="E144" s="107"/>
      <c r="F144" s="107"/>
      <c r="G144" s="107"/>
    </row>
    <row r="145" customFormat="false" ht="15" hidden="false" customHeight="true" outlineLevel="0" collapsed="false">
      <c r="A145" s="107" t="s">
        <v>2376</v>
      </c>
      <c r="B145" s="107" t="n">
        <v>4</v>
      </c>
      <c r="C145" s="107" t="s">
        <v>1950</v>
      </c>
      <c r="D145" s="107"/>
      <c r="E145" s="107"/>
      <c r="F145" s="107"/>
      <c r="G145" s="107"/>
    </row>
    <row r="146" customFormat="false" ht="15" hidden="false" customHeight="true" outlineLevel="0" collapsed="false">
      <c r="A146" s="107" t="s">
        <v>2377</v>
      </c>
      <c r="B146" s="107" t="n">
        <v>5</v>
      </c>
      <c r="C146" s="107" t="s">
        <v>994</v>
      </c>
      <c r="D146" s="107"/>
      <c r="E146" s="107"/>
      <c r="F146" s="107"/>
      <c r="G146" s="107"/>
    </row>
    <row r="147" customFormat="false" ht="15" hidden="false" customHeight="true" outlineLevel="0" collapsed="false">
      <c r="A147" s="107" t="s">
        <v>2378</v>
      </c>
      <c r="B147" s="107" t="n">
        <v>6</v>
      </c>
      <c r="C147" s="107" t="s">
        <v>994</v>
      </c>
      <c r="D147" s="107"/>
      <c r="E147" s="107"/>
      <c r="F147" s="107"/>
      <c r="G147" s="107"/>
    </row>
    <row r="148" customFormat="false" ht="15" hidden="false" customHeight="true" outlineLevel="0" collapsed="false">
      <c r="A148" s="107" t="s">
        <v>2379</v>
      </c>
      <c r="B148" s="107" t="n">
        <v>7</v>
      </c>
      <c r="C148" s="107" t="s">
        <v>994</v>
      </c>
      <c r="D148" s="107"/>
      <c r="E148" s="107"/>
      <c r="F148" s="107"/>
      <c r="G148" s="107"/>
    </row>
    <row r="149" customFormat="false" ht="15" hidden="false" customHeight="true" outlineLevel="0" collapsed="false">
      <c r="A149" s="107" t="s">
        <v>2380</v>
      </c>
      <c r="B149" s="107" t="n">
        <v>8</v>
      </c>
      <c r="C149" s="107" t="s">
        <v>994</v>
      </c>
      <c r="D149" s="107"/>
      <c r="E149" s="107"/>
      <c r="F149" s="107"/>
      <c r="G149" s="107"/>
    </row>
    <row r="150" customFormat="false" ht="15" hidden="false" customHeight="true" outlineLevel="0" collapsed="false">
      <c r="A150" s="107" t="s">
        <v>2381</v>
      </c>
      <c r="B150" s="107" t="n">
        <v>9</v>
      </c>
      <c r="C150" s="107" t="s">
        <v>2037</v>
      </c>
      <c r="D150" s="107"/>
      <c r="E150" s="107"/>
      <c r="F150" s="107"/>
      <c r="G150" s="107"/>
    </row>
    <row r="151" customFormat="false" ht="15" hidden="false" customHeight="true" outlineLevel="0" collapsed="false">
      <c r="A151" s="107" t="s">
        <v>2382</v>
      </c>
      <c r="B151" s="107" t="n">
        <v>10</v>
      </c>
      <c r="C151" s="107" t="s">
        <v>2037</v>
      </c>
      <c r="D151" s="107"/>
      <c r="E151" s="107"/>
      <c r="F151" s="107"/>
      <c r="G151" s="107"/>
    </row>
    <row r="152" customFormat="false" ht="15" hidden="false" customHeight="true" outlineLevel="0" collapsed="false">
      <c r="A152" s="107" t="s">
        <v>2383</v>
      </c>
      <c r="B152" s="107" t="n">
        <v>11</v>
      </c>
      <c r="C152" s="107" t="s">
        <v>2037</v>
      </c>
      <c r="D152" s="107"/>
      <c r="E152" s="107"/>
      <c r="F152" s="107"/>
      <c r="G152" s="107"/>
    </row>
    <row r="153" customFormat="false" ht="15" hidden="false" customHeight="true" outlineLevel="0" collapsed="false">
      <c r="A153" s="107" t="s">
        <v>2384</v>
      </c>
      <c r="B153" s="107" t="n">
        <v>12</v>
      </c>
      <c r="C153" s="107" t="s">
        <v>2037</v>
      </c>
      <c r="D153" s="107"/>
      <c r="E153" s="107"/>
      <c r="F153" s="107"/>
      <c r="G153" s="107"/>
    </row>
    <row r="154" customFormat="false" ht="15" hidden="false" customHeight="true" outlineLevel="0" collapsed="false">
      <c r="A154" s="107" t="s">
        <v>2385</v>
      </c>
      <c r="B154" s="107" t="n">
        <v>13</v>
      </c>
      <c r="C154" s="107" t="s">
        <v>2229</v>
      </c>
      <c r="D154" s="107" t="s">
        <v>1179</v>
      </c>
      <c r="E154" s="107" t="n">
        <v>0.03</v>
      </c>
      <c r="F154" s="107" t="s">
        <v>1179</v>
      </c>
      <c r="G154" s="107" t="n">
        <v>0.04</v>
      </c>
    </row>
    <row r="155" customFormat="false" ht="15" hidden="false" customHeight="true" outlineLevel="0" collapsed="false">
      <c r="A155" s="107" t="s">
        <v>2386</v>
      </c>
      <c r="B155" s="107" t="n">
        <v>14</v>
      </c>
      <c r="C155" s="107" t="s">
        <v>2229</v>
      </c>
      <c r="D155" s="107"/>
      <c r="E155" s="107"/>
      <c r="F155" s="107"/>
      <c r="G155" s="107"/>
    </row>
    <row r="156" customFormat="false" ht="15" hidden="false" customHeight="true" outlineLevel="0" collapsed="false">
      <c r="A156" s="107" t="s">
        <v>2387</v>
      </c>
      <c r="B156" s="107" t="n">
        <v>15</v>
      </c>
      <c r="C156" s="107" t="s">
        <v>2229</v>
      </c>
      <c r="D156" s="107"/>
      <c r="E156" s="107"/>
      <c r="F156" s="107"/>
      <c r="G156" s="107"/>
    </row>
    <row r="157" customFormat="false" ht="15" hidden="false" customHeight="true" outlineLevel="0" collapsed="false">
      <c r="A157" s="107" t="s">
        <v>2388</v>
      </c>
      <c r="B157" s="107" t="n">
        <v>16</v>
      </c>
      <c r="C157" s="107" t="s">
        <v>2229</v>
      </c>
      <c r="D157" s="107"/>
      <c r="E157" s="107"/>
      <c r="F157" s="107"/>
      <c r="G157" s="107"/>
    </row>
    <row r="158" customFormat="false" ht="15" hidden="false" customHeight="true" outlineLevel="0" collapsed="false">
      <c r="A158" s="107" t="s">
        <v>2389</v>
      </c>
      <c r="B158" s="107" t="n">
        <v>17</v>
      </c>
      <c r="C158" s="107" t="s">
        <v>2229</v>
      </c>
      <c r="D158" s="107"/>
      <c r="E158" s="107"/>
      <c r="F158" s="107"/>
      <c r="G158" s="107"/>
    </row>
    <row r="159" customFormat="false" ht="15" hidden="false" customHeight="true" outlineLevel="0" collapsed="false">
      <c r="A159" s="107" t="s">
        <v>2390</v>
      </c>
      <c r="B159" s="107" t="n">
        <v>18</v>
      </c>
      <c r="C159" s="107" t="s">
        <v>2229</v>
      </c>
      <c r="D159" s="107"/>
      <c r="E159" s="107"/>
      <c r="F159" s="107"/>
      <c r="G159" s="107"/>
    </row>
    <row r="160" customFormat="false" ht="15" hidden="false" customHeight="true" outlineLevel="0" collapsed="false">
      <c r="A160" s="107" t="s">
        <v>2391</v>
      </c>
      <c r="B160" s="107" t="n">
        <v>19</v>
      </c>
      <c r="C160" s="107" t="s">
        <v>2229</v>
      </c>
      <c r="D160" s="107"/>
      <c r="E160" s="107"/>
      <c r="F160" s="107"/>
      <c r="G160" s="107"/>
    </row>
    <row r="161" customFormat="false" ht="15" hidden="false" customHeight="true" outlineLevel="0" collapsed="false">
      <c r="A161" s="107" t="s">
        <v>2392</v>
      </c>
      <c r="B161" s="107" t="n">
        <v>20</v>
      </c>
      <c r="C161" s="107" t="s">
        <v>1328</v>
      </c>
      <c r="D161" s="107" t="s">
        <v>1328</v>
      </c>
      <c r="E161" s="107" t="n">
        <v>79.97</v>
      </c>
      <c r="F161" s="107" t="s">
        <v>1328</v>
      </c>
      <c r="G161" s="107" t="n">
        <v>81.96</v>
      </c>
    </row>
    <row r="162" customFormat="false" ht="15" hidden="false" customHeight="true" outlineLevel="0" collapsed="false">
      <c r="A162" s="107" t="s">
        <v>2393</v>
      </c>
      <c r="B162" s="107" t="n">
        <v>1</v>
      </c>
      <c r="C162" s="107" t="s">
        <v>1950</v>
      </c>
      <c r="D162" s="107" t="s">
        <v>2394</v>
      </c>
      <c r="E162" s="107" t="n">
        <v>1.5</v>
      </c>
      <c r="F162" s="107" t="s">
        <v>2394</v>
      </c>
      <c r="G162" s="107" t="n">
        <v>1</v>
      </c>
    </row>
    <row r="163" customFormat="false" ht="15" hidden="false" customHeight="true" outlineLevel="0" collapsed="false">
      <c r="A163" s="107" t="s">
        <v>2395</v>
      </c>
      <c r="B163" s="107" t="n">
        <v>2</v>
      </c>
      <c r="C163" s="107" t="s">
        <v>1950</v>
      </c>
      <c r="D163" s="107"/>
      <c r="E163" s="107"/>
      <c r="F163" s="107"/>
      <c r="G163" s="107"/>
    </row>
    <row r="164" customFormat="false" ht="15" hidden="false" customHeight="true" outlineLevel="0" collapsed="false">
      <c r="A164" s="107" t="s">
        <v>2396</v>
      </c>
      <c r="B164" s="107" t="n">
        <v>3</v>
      </c>
      <c r="C164" s="107" t="s">
        <v>1950</v>
      </c>
      <c r="D164" s="107"/>
      <c r="E164" s="107"/>
      <c r="F164" s="107"/>
      <c r="G164" s="107"/>
    </row>
    <row r="165" customFormat="false" ht="15" hidden="false" customHeight="true" outlineLevel="0" collapsed="false">
      <c r="A165" s="107" t="s">
        <v>2397</v>
      </c>
      <c r="B165" s="107" t="n">
        <v>4</v>
      </c>
      <c r="C165" s="107" t="s">
        <v>1950</v>
      </c>
      <c r="D165" s="107"/>
      <c r="E165" s="107"/>
      <c r="F165" s="107"/>
      <c r="G165" s="107"/>
    </row>
    <row r="166" customFormat="false" ht="15" hidden="false" customHeight="true" outlineLevel="0" collapsed="false">
      <c r="A166" s="107" t="s">
        <v>2398</v>
      </c>
      <c r="B166" s="107" t="n">
        <v>5</v>
      </c>
      <c r="C166" s="107" t="s">
        <v>994</v>
      </c>
      <c r="D166" s="107" t="s">
        <v>1004</v>
      </c>
      <c r="E166" s="107" t="n">
        <v>10</v>
      </c>
      <c r="F166" s="107" t="s">
        <v>1004</v>
      </c>
      <c r="G166" s="107" t="n">
        <v>11</v>
      </c>
    </row>
    <row r="167" customFormat="false" ht="15" hidden="false" customHeight="true" outlineLevel="0" collapsed="false">
      <c r="A167" s="107" t="s">
        <v>2399</v>
      </c>
      <c r="B167" s="107" t="n">
        <v>6</v>
      </c>
      <c r="C167" s="107" t="s">
        <v>994</v>
      </c>
      <c r="D167" s="107"/>
      <c r="E167" s="107"/>
      <c r="F167" s="107"/>
      <c r="G167" s="107"/>
    </row>
    <row r="168" customFormat="false" ht="15" hidden="false" customHeight="true" outlineLevel="0" collapsed="false">
      <c r="A168" s="107" t="s">
        <v>2400</v>
      </c>
      <c r="B168" s="107" t="n">
        <v>7</v>
      </c>
      <c r="C168" s="107" t="s">
        <v>994</v>
      </c>
      <c r="D168" s="107"/>
      <c r="E168" s="107"/>
      <c r="F168" s="107"/>
      <c r="G168" s="107"/>
    </row>
    <row r="169" customFormat="false" ht="15" hidden="false" customHeight="true" outlineLevel="0" collapsed="false">
      <c r="A169" s="107" t="s">
        <v>2401</v>
      </c>
      <c r="B169" s="107" t="n">
        <v>8</v>
      </c>
      <c r="C169" s="107" t="s">
        <v>994</v>
      </c>
      <c r="D169" s="107"/>
      <c r="E169" s="107"/>
      <c r="F169" s="107"/>
      <c r="G169" s="107"/>
    </row>
    <row r="170" customFormat="false" ht="15" hidden="false" customHeight="true" outlineLevel="0" collapsed="false">
      <c r="A170" s="107" t="s">
        <v>2402</v>
      </c>
      <c r="B170" s="107" t="n">
        <v>9</v>
      </c>
      <c r="C170" s="107" t="s">
        <v>2037</v>
      </c>
      <c r="D170" s="107"/>
      <c r="E170" s="107"/>
      <c r="F170" s="107"/>
      <c r="G170" s="107"/>
    </row>
    <row r="171" customFormat="false" ht="15" hidden="false" customHeight="true" outlineLevel="0" collapsed="false">
      <c r="A171" s="107" t="s">
        <v>2403</v>
      </c>
      <c r="B171" s="107" t="n">
        <v>10</v>
      </c>
      <c r="C171" s="107" t="s">
        <v>2037</v>
      </c>
      <c r="D171" s="107"/>
      <c r="E171" s="107"/>
      <c r="F171" s="107"/>
      <c r="G171" s="107"/>
    </row>
    <row r="172" customFormat="false" ht="15" hidden="false" customHeight="true" outlineLevel="0" collapsed="false">
      <c r="A172" s="107" t="s">
        <v>2404</v>
      </c>
      <c r="B172" s="107" t="n">
        <v>11</v>
      </c>
      <c r="C172" s="107" t="s">
        <v>2037</v>
      </c>
      <c r="D172" s="107"/>
      <c r="E172" s="107"/>
      <c r="F172" s="107"/>
      <c r="G172" s="107"/>
    </row>
    <row r="173" customFormat="false" ht="15" hidden="false" customHeight="true" outlineLevel="0" collapsed="false">
      <c r="A173" s="107" t="s">
        <v>2405</v>
      </c>
      <c r="B173" s="107" t="n">
        <v>12</v>
      </c>
      <c r="C173" s="107" t="s">
        <v>2037</v>
      </c>
      <c r="D173" s="107"/>
      <c r="E173" s="107"/>
      <c r="F173" s="107"/>
      <c r="G173" s="107"/>
    </row>
    <row r="174" customFormat="false" ht="15" hidden="false" customHeight="true" outlineLevel="0" collapsed="false">
      <c r="A174" s="107" t="s">
        <v>2406</v>
      </c>
      <c r="B174" s="107" t="n">
        <v>13</v>
      </c>
      <c r="C174" s="107" t="s">
        <v>2229</v>
      </c>
      <c r="D174" s="107" t="s">
        <v>1137</v>
      </c>
      <c r="E174" s="107" t="n">
        <v>0.25</v>
      </c>
      <c r="F174" s="107" t="s">
        <v>1137</v>
      </c>
      <c r="G174" s="107" t="n">
        <v>0.3</v>
      </c>
    </row>
    <row r="175" customFormat="false" ht="15" hidden="false" customHeight="true" outlineLevel="0" collapsed="false">
      <c r="A175" s="107" t="s">
        <v>2407</v>
      </c>
      <c r="B175" s="107" t="n">
        <v>14</v>
      </c>
      <c r="C175" s="107" t="s">
        <v>2229</v>
      </c>
      <c r="D175" s="107" t="s">
        <v>1211</v>
      </c>
      <c r="E175" s="107" t="n">
        <v>0.1</v>
      </c>
      <c r="F175" s="107" t="s">
        <v>1211</v>
      </c>
      <c r="G175" s="107" t="n">
        <v>0.08</v>
      </c>
    </row>
    <row r="176" customFormat="false" ht="15" hidden="false" customHeight="true" outlineLevel="0" collapsed="false">
      <c r="A176" s="107" t="s">
        <v>2408</v>
      </c>
      <c r="B176" s="107" t="n">
        <v>15</v>
      </c>
      <c r="C176" s="107" t="s">
        <v>2229</v>
      </c>
      <c r="D176" s="107" t="s">
        <v>1179</v>
      </c>
      <c r="E176" s="107" t="n">
        <v>0.05</v>
      </c>
      <c r="F176" s="107" t="s">
        <v>1179</v>
      </c>
      <c r="G176" s="107" t="n">
        <v>0.05</v>
      </c>
    </row>
    <row r="177" customFormat="false" ht="15" hidden="false" customHeight="true" outlineLevel="0" collapsed="false">
      <c r="A177" s="107" t="s">
        <v>2409</v>
      </c>
      <c r="B177" s="107" t="n">
        <v>16</v>
      </c>
      <c r="C177" s="107" t="s">
        <v>2229</v>
      </c>
      <c r="D177" s="107"/>
      <c r="E177" s="107"/>
      <c r="F177" s="107"/>
      <c r="G177" s="107"/>
    </row>
    <row r="178" customFormat="false" ht="15" hidden="false" customHeight="true" outlineLevel="0" collapsed="false">
      <c r="A178" s="107" t="s">
        <v>2410</v>
      </c>
      <c r="B178" s="107" t="n">
        <v>17</v>
      </c>
      <c r="C178" s="107" t="s">
        <v>2229</v>
      </c>
      <c r="D178" s="107"/>
      <c r="E178" s="107"/>
      <c r="F178" s="107"/>
      <c r="G178" s="107"/>
    </row>
    <row r="179" customFormat="false" ht="15" hidden="false" customHeight="true" outlineLevel="0" collapsed="false">
      <c r="A179" s="107" t="s">
        <v>2411</v>
      </c>
      <c r="B179" s="107" t="n">
        <v>18</v>
      </c>
      <c r="C179" s="107" t="s">
        <v>2229</v>
      </c>
      <c r="D179" s="107"/>
      <c r="E179" s="107"/>
      <c r="F179" s="107"/>
      <c r="G179" s="107"/>
    </row>
    <row r="180" customFormat="false" ht="15" hidden="false" customHeight="true" outlineLevel="0" collapsed="false">
      <c r="A180" s="107" t="s">
        <v>2412</v>
      </c>
      <c r="B180" s="107" t="n">
        <v>19</v>
      </c>
      <c r="C180" s="107" t="s">
        <v>2229</v>
      </c>
      <c r="D180" s="107"/>
      <c r="E180" s="107"/>
      <c r="F180" s="107"/>
      <c r="G180" s="107"/>
    </row>
    <row r="181" customFormat="false" ht="15" hidden="false" customHeight="true" outlineLevel="0" collapsed="false">
      <c r="A181" s="107" t="s">
        <v>2413</v>
      </c>
      <c r="B181" s="107" t="n">
        <v>20</v>
      </c>
      <c r="C181" s="107" t="s">
        <v>1328</v>
      </c>
      <c r="D181" s="107" t="s">
        <v>1328</v>
      </c>
      <c r="E181" s="107" t="n">
        <v>88.1</v>
      </c>
      <c r="F181" s="107" t="s">
        <v>1328</v>
      </c>
      <c r="G181" s="107" t="n">
        <v>87.57</v>
      </c>
    </row>
    <row r="182" customFormat="false" ht="15" hidden="false" customHeight="true" outlineLevel="0" collapsed="false">
      <c r="A182" s="107" t="s">
        <v>2414</v>
      </c>
      <c r="B182" s="107" t="n">
        <v>1</v>
      </c>
      <c r="C182" s="107" t="s">
        <v>1950</v>
      </c>
      <c r="D182" s="107" t="s">
        <v>2239</v>
      </c>
      <c r="E182" s="107" t="n">
        <v>2</v>
      </c>
      <c r="F182" s="107" t="s">
        <v>2239</v>
      </c>
      <c r="G182" s="107" t="n">
        <v>2.5</v>
      </c>
    </row>
    <row r="183" customFormat="false" ht="15" hidden="false" customHeight="true" outlineLevel="0" collapsed="false">
      <c r="A183" s="107" t="s">
        <v>2415</v>
      </c>
      <c r="B183" s="107" t="n">
        <v>2</v>
      </c>
      <c r="C183" s="107" t="s">
        <v>1950</v>
      </c>
      <c r="D183" s="107" t="s">
        <v>1372</v>
      </c>
      <c r="E183" s="107" t="n">
        <v>3</v>
      </c>
      <c r="F183" s="107" t="s">
        <v>1372</v>
      </c>
      <c r="G183" s="107" t="n">
        <v>3.5</v>
      </c>
    </row>
    <row r="184" customFormat="false" ht="15" hidden="false" customHeight="true" outlineLevel="0" collapsed="false">
      <c r="A184" s="107" t="s">
        <v>2416</v>
      </c>
      <c r="B184" s="107" t="n">
        <v>3</v>
      </c>
      <c r="C184" s="107" t="s">
        <v>1950</v>
      </c>
      <c r="D184" s="107" t="s">
        <v>2417</v>
      </c>
      <c r="E184" s="107" t="n">
        <v>2</v>
      </c>
      <c r="F184" s="107" t="s">
        <v>2417</v>
      </c>
      <c r="G184" s="107" t="n">
        <v>1.5</v>
      </c>
    </row>
    <row r="185" customFormat="false" ht="15" hidden="false" customHeight="true" outlineLevel="0" collapsed="false">
      <c r="A185" s="107" t="s">
        <v>2418</v>
      </c>
      <c r="B185" s="107" t="n">
        <v>4</v>
      </c>
      <c r="C185" s="107" t="s">
        <v>1950</v>
      </c>
      <c r="D185" s="107"/>
      <c r="E185" s="107"/>
      <c r="F185" s="107"/>
      <c r="G185" s="107"/>
    </row>
    <row r="186" customFormat="false" ht="15" hidden="false" customHeight="true" outlineLevel="0" collapsed="false">
      <c r="A186" s="107" t="s">
        <v>2419</v>
      </c>
      <c r="B186" s="107" t="n">
        <v>5</v>
      </c>
      <c r="C186" s="107" t="s">
        <v>994</v>
      </c>
      <c r="D186" s="107" t="s">
        <v>996</v>
      </c>
      <c r="E186" s="107" t="n">
        <v>8</v>
      </c>
      <c r="F186" s="107" t="s">
        <v>996</v>
      </c>
      <c r="G186" s="107" t="n">
        <v>9</v>
      </c>
    </row>
    <row r="187" customFormat="false" ht="15" hidden="false" customHeight="true" outlineLevel="0" collapsed="false">
      <c r="A187" s="107" t="s">
        <v>2420</v>
      </c>
      <c r="B187" s="107" t="n">
        <v>6</v>
      </c>
      <c r="C187" s="107" t="s">
        <v>994</v>
      </c>
      <c r="D187" s="107" t="s">
        <v>1004</v>
      </c>
      <c r="E187" s="107" t="n">
        <v>3</v>
      </c>
      <c r="F187" s="107" t="s">
        <v>1004</v>
      </c>
      <c r="G187" s="107" t="n">
        <v>2</v>
      </c>
    </row>
    <row r="188" customFormat="false" ht="15" hidden="false" customHeight="true" outlineLevel="0" collapsed="false">
      <c r="A188" s="107" t="s">
        <v>2421</v>
      </c>
      <c r="B188" s="107" t="n">
        <v>7</v>
      </c>
      <c r="C188" s="107" t="s">
        <v>994</v>
      </c>
      <c r="D188" s="107"/>
      <c r="E188" s="107"/>
      <c r="F188" s="107"/>
      <c r="G188" s="107"/>
    </row>
    <row r="189" customFormat="false" ht="15" hidden="false" customHeight="true" outlineLevel="0" collapsed="false">
      <c r="A189" s="107" t="s">
        <v>2422</v>
      </c>
      <c r="B189" s="107" t="n">
        <v>8</v>
      </c>
      <c r="C189" s="107" t="s">
        <v>994</v>
      </c>
      <c r="D189" s="107"/>
      <c r="E189" s="107"/>
      <c r="F189" s="107"/>
      <c r="G189" s="107"/>
    </row>
    <row r="190" customFormat="false" ht="15" hidden="false" customHeight="true" outlineLevel="0" collapsed="false">
      <c r="A190" s="107" t="s">
        <v>2423</v>
      </c>
      <c r="B190" s="107" t="n">
        <v>9</v>
      </c>
      <c r="C190" s="107" t="s">
        <v>2037</v>
      </c>
      <c r="D190" s="107" t="s">
        <v>1305</v>
      </c>
      <c r="E190" s="107" t="n">
        <v>0.2</v>
      </c>
      <c r="F190" s="107" t="s">
        <v>1305</v>
      </c>
      <c r="G190" s="107" t="n">
        <v>0.2</v>
      </c>
    </row>
    <row r="191" customFormat="false" ht="15" hidden="false" customHeight="true" outlineLevel="0" collapsed="false">
      <c r="A191" s="107" t="s">
        <v>2424</v>
      </c>
      <c r="B191" s="107" t="n">
        <v>10</v>
      </c>
      <c r="C191" s="107" t="s">
        <v>2037</v>
      </c>
      <c r="D191" s="107" t="s">
        <v>1323</v>
      </c>
      <c r="E191" s="107" t="n">
        <v>0.05</v>
      </c>
      <c r="F191" s="107"/>
      <c r="G191" s="107"/>
    </row>
    <row r="192" customFormat="false" ht="15" hidden="false" customHeight="true" outlineLevel="0" collapsed="false">
      <c r="A192" s="107" t="s">
        <v>2425</v>
      </c>
      <c r="B192" s="107" t="n">
        <v>11</v>
      </c>
      <c r="C192" s="107" t="s">
        <v>2037</v>
      </c>
      <c r="D192" s="107"/>
      <c r="E192" s="107"/>
      <c r="F192" s="107"/>
      <c r="G192" s="107"/>
    </row>
    <row r="193" customFormat="false" ht="15" hidden="false" customHeight="true" outlineLevel="0" collapsed="false">
      <c r="A193" s="107" t="s">
        <v>2426</v>
      </c>
      <c r="B193" s="107" t="n">
        <v>12</v>
      </c>
      <c r="C193" s="107" t="s">
        <v>2037</v>
      </c>
      <c r="D193" s="107"/>
      <c r="E193" s="107"/>
      <c r="F193" s="107"/>
      <c r="G193" s="107"/>
    </row>
    <row r="194" customFormat="false" ht="15" hidden="false" customHeight="true" outlineLevel="0" collapsed="false">
      <c r="A194" s="107" t="s">
        <v>2427</v>
      </c>
      <c r="B194" s="107" t="n">
        <v>13</v>
      </c>
      <c r="C194" s="107" t="s">
        <v>2229</v>
      </c>
      <c r="D194" s="107" t="s">
        <v>1137</v>
      </c>
      <c r="E194" s="107" t="n">
        <v>0.2</v>
      </c>
      <c r="F194" s="107" t="s">
        <v>1137</v>
      </c>
      <c r="G194" s="107" t="n">
        <v>0.15</v>
      </c>
    </row>
    <row r="195" customFormat="false" ht="15" hidden="false" customHeight="true" outlineLevel="0" collapsed="false">
      <c r="A195" s="107" t="s">
        <v>2428</v>
      </c>
      <c r="B195" s="107" t="n">
        <v>14</v>
      </c>
      <c r="C195" s="107" t="s">
        <v>2229</v>
      </c>
      <c r="D195" s="107" t="s">
        <v>2255</v>
      </c>
      <c r="E195" s="107" t="n">
        <v>0.15</v>
      </c>
      <c r="F195" s="107" t="s">
        <v>2255</v>
      </c>
      <c r="G195" s="107" t="n">
        <v>0.1</v>
      </c>
    </row>
    <row r="196" customFormat="false" ht="15" hidden="false" customHeight="true" outlineLevel="0" collapsed="false">
      <c r="A196" s="107" t="s">
        <v>2429</v>
      </c>
      <c r="B196" s="107" t="n">
        <v>15</v>
      </c>
      <c r="C196" s="107" t="s">
        <v>2229</v>
      </c>
      <c r="D196" s="107" t="s">
        <v>2258</v>
      </c>
      <c r="E196" s="107" t="n">
        <v>0.02</v>
      </c>
      <c r="F196" s="107" t="s">
        <v>2258</v>
      </c>
      <c r="G196" s="107" t="n">
        <v>0.02</v>
      </c>
    </row>
    <row r="197" customFormat="false" ht="15" hidden="false" customHeight="true" outlineLevel="0" collapsed="false">
      <c r="A197" s="107" t="s">
        <v>2430</v>
      </c>
      <c r="B197" s="107" t="n">
        <v>16</v>
      </c>
      <c r="C197" s="107" t="s">
        <v>2229</v>
      </c>
      <c r="D197" s="107"/>
      <c r="E197" s="107"/>
      <c r="F197" s="107"/>
      <c r="G197" s="107"/>
    </row>
    <row r="198" customFormat="false" ht="15" hidden="false" customHeight="true" outlineLevel="0" collapsed="false">
      <c r="A198" s="107" t="s">
        <v>2431</v>
      </c>
      <c r="B198" s="107" t="n">
        <v>17</v>
      </c>
      <c r="C198" s="107" t="s">
        <v>2229</v>
      </c>
      <c r="D198" s="107"/>
      <c r="E198" s="107"/>
      <c r="F198" s="107"/>
      <c r="G198" s="107"/>
    </row>
    <row r="199" customFormat="false" ht="15" hidden="false" customHeight="true" outlineLevel="0" collapsed="false">
      <c r="A199" s="107" t="s">
        <v>2432</v>
      </c>
      <c r="B199" s="107" t="n">
        <v>18</v>
      </c>
      <c r="C199" s="107" t="s">
        <v>2229</v>
      </c>
      <c r="D199" s="107"/>
      <c r="E199" s="107"/>
      <c r="F199" s="107"/>
      <c r="G199" s="107"/>
    </row>
    <row r="200" customFormat="false" ht="15" hidden="false" customHeight="true" outlineLevel="0" collapsed="false">
      <c r="A200" s="107" t="s">
        <v>2433</v>
      </c>
      <c r="B200" s="107" t="n">
        <v>19</v>
      </c>
      <c r="C200" s="107" t="s">
        <v>2229</v>
      </c>
      <c r="D200" s="107"/>
      <c r="E200" s="107"/>
      <c r="F200" s="107"/>
      <c r="G200" s="107"/>
    </row>
    <row r="201" customFormat="false" ht="15" hidden="false" customHeight="true" outlineLevel="0" collapsed="false">
      <c r="A201" s="107" t="s">
        <v>2434</v>
      </c>
      <c r="B201" s="107" t="n">
        <v>20</v>
      </c>
      <c r="C201" s="107" t="s">
        <v>1328</v>
      </c>
      <c r="D201" s="107" t="s">
        <v>1328</v>
      </c>
      <c r="E201" s="107" t="n">
        <v>81.38</v>
      </c>
      <c r="F201" s="107" t="s">
        <v>1328</v>
      </c>
      <c r="G201" s="107" t="n">
        <v>81.03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2026-02-26T00:33:31Z</dcterms:created>
  <dc:creator>openpyxl</dc:creator>
  <dc:description/>
  <dc:language>en-US</dc:language>
  <cp:lastModifiedBy/>
  <dcterms:modified xsi:type="dcterms:W3CDTF">2026-02-26T05:39:24Z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